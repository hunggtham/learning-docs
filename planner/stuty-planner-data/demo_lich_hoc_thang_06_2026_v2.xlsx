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808030e7d47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1a8f97cb1244b3c"/>
    <x:sheet xmlns:r="http://schemas.openxmlformats.org/officeDocument/2006/relationships" name="Lịch tháng 6" sheetId="2" r:id="R5271ee889cdd420d"/>
    <x:sheet xmlns:r="http://schemas.openxmlformats.org/officeDocument/2006/relationships" name="Mục tiêu tuần" sheetId="3" r:id="R5a51de67e9b3489a"/>
    <x:sheet xmlns:r="http://schemas.openxmlformats.org/officeDocument/2006/relationships" name="Mục tiêu tháng" sheetId="4" r:id="Rf0b2e62ecad144a3"/>
    <x:sheet xmlns:r="http://schemas.openxmlformats.org/officeDocument/2006/relationships" name="Task phụ" sheetId="5" r:id="Rdae2373615124aef"/>
    <x:sheet xmlns:r="http://schemas.openxmlformats.org/officeDocument/2006/relationships" name="Task dời ngày mai" sheetId="6" r:id="Ra0bbc5ec8b5d441b"/>
    <x:sheet xmlns:r="http://schemas.openxmlformats.org/officeDocument/2006/relationships" name="Danh mục" sheetId="7" r:id="R778f778254b6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0F172A"/>
      <x:name val="Carlito"/>
    </x:font>
    <x:font>
      <x:b/>
      <x:sz val="11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1"/>
      </x:patternFill>
    </x:fill>
    <x:fill>
      <x:patternFill patternType="solid">
        <x:fgColor rgb="FFCCFBF1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2" fillId="3" borderId="0" xfId="0" applyNumberFormat="1" applyFont="1" applyFill="1" applyBorder="1" applyAlignment="1">
      <x:alignment horizontal="center"/>
    </x:xf>
    <x:xf numFmtId="200" fontId="2" fillId="3" borderId="1" xfId="0" applyNumberFormat="1" applyFont="1" applyFill="1" applyBorder="1" applyAlignment="1">
      <x:alignment horizontal="center"/>
    </x:xf>
    <x:xf numFmtId="200" fontId="2" fillId="3" borderId="0" xfId="0" applyNumberFormat="1" applyFont="1" applyFill="1" applyBorder="1" applyAlignment="1">
      <x:alignment horizontal="center" wrapText="1"/>
    </x:xf>
    <x:xf numFmtId="200" fontId="2" fillId="3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</x:cellXfs>
  <x:cellStyles count="1">
    <x:cellStyle name="Normal" xfId="0"/>
  </x:cellStyles>
  <x:dxfs count="7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c1ad50874d4daf" /><Relationship Type="http://schemas.openxmlformats.org/officeDocument/2006/relationships/theme" Target="/xl/theme/theme1.xml" Id="R0d2b81c2ffc14a42" /><Relationship Type="http://schemas.openxmlformats.org/officeDocument/2006/relationships/sharedStrings" Target="/xl/sharedStrings.xml" Id="Ra15a0d977c234bd9" /><Relationship Type="http://schemas.openxmlformats.org/officeDocument/2006/relationships/worksheet" Target="/xl/worksheets/sheet1.xml" Id="Rc1a8f97cb1244b3c" /><Relationship Type="http://schemas.openxmlformats.org/officeDocument/2006/relationships/worksheet" Target="/xl/worksheets/sheet2.xml" Id="R5271ee889cdd420d" /><Relationship Type="http://schemas.openxmlformats.org/officeDocument/2006/relationships/worksheet" Target="/xl/worksheets/sheet3.xml" Id="R5a51de67e9b3489a" /><Relationship Type="http://schemas.openxmlformats.org/officeDocument/2006/relationships/worksheet" Target="/xl/worksheets/sheet4.xml" Id="Rf0b2e62ecad144a3" /><Relationship Type="http://schemas.openxmlformats.org/officeDocument/2006/relationships/worksheet" Target="/xl/worksheets/sheet5.xml" Id="Rdae2373615124aef" /><Relationship Type="http://schemas.openxmlformats.org/officeDocument/2006/relationships/worksheet" Target="/xl/worksheets/sheet6.xml" Id="Ra0bbc5ec8b5d441b" /><Relationship Type="http://schemas.openxmlformats.org/officeDocument/2006/relationships/worksheet" Target="/xl/worksheets/sheet7.xml" Id="R778f778254b646e4" /></Relationships>
</file>

<file path=xl/tables/table1.xml><?xml version="1.0" encoding="utf-8"?>
<x:table xmlns:x="http://schemas.openxmlformats.org/spreadsheetml/2006/main" id="1" name="ScheduleJuneTable" displayName="ScheduleJuneTable" ref="A1:M70" headerRowCount="1">
  <x:tableColumns count="13">
    <x:tableColumn id="1" name="Ngày"/>
    <x:tableColumn id="2" name="Thứ"/>
    <x:tableColumn id="3" name="Khung giờ"/>
    <x:tableColumn id="4" name="Nhóm"/>
    <x:tableColumn id="5" name="Task chính"/>
    <x:tableColumn id="6" name="Ghi chú/Rule"/>
    <x:tableColumn id="7" name="Output tối thiểu"/>
    <x:tableColumn id="8" name="Ưu tiên"/>
    <x:tableColumn id="9" name="Status"/>
    <x:tableColumn id="10" name="Action"/>
    <x:tableColumn id="11" name="Ngày dời sang"/>
    <x:tableColumn id="12" name="Điểm"/>
    <x:tableColumn id="13" name="Ghi chú thực tế"/>
  </x:tableColumns>
  <x:tableStyleInfo name="TableStyleMedium2" showRowStripes="1"/>
</x:table>
</file>

<file path=xl/tables/table2.xml><?xml version="1.0" encoding="utf-8"?>
<x:table xmlns:x="http://schemas.openxmlformats.org/spreadsheetml/2006/main" id="2" name="WeeklyGoalsTable" displayName="WeeklyGoalsTable" ref="A1:F16" headerRowCount="1">
  <x:tableColumns count="6">
    <x:tableColumn id="1" name="Tuần"/>
    <x:tableColumn id="2" name="Nhóm"/>
    <x:tableColumn id="3" name="Mục tiêu checkbox"/>
    <x:tableColumn id="4" name="Tiêu chí hoàn thành"/>
    <x:tableColumn id="5" name="Status"/>
    <x:tableColumn id="6" name="Ghi chú"/>
  </x:tableColumns>
  <x:tableStyleInfo name="TableStyleMedium2" showRowStripes="1"/>
</x:table>
</file>

<file path=xl/tables/table3.xml><?xml version="1.0" encoding="utf-8"?>
<x:table xmlns:x="http://schemas.openxmlformats.org/spreadsheetml/2006/main" id="3" name="MonthlyGoalsTable" displayName="MonthlyGoalsTable" ref="A1:G9" headerRowCount="1">
  <x:tableColumns count="7">
    <x:tableColumn id="1" name="Tháng"/>
    <x:tableColumn id="2" name="Nhóm"/>
    <x:tableColumn id="3" name="Mục tiêu checkbox"/>
    <x:tableColumn id="4" name="Mục tiêu tháng 6 demo"/>
    <x:tableColumn id="5" name="KPI tối thiểu"/>
    <x:tableColumn id="6" name="Status"/>
    <x:tableColumn id="7" name="Ghi chú"/>
  </x:tableColumns>
  <x:tableStyleInfo name="TableStyleMedium2" showRowStripes="1"/>
</x:table>
</file>

<file path=xl/tables/table4.xml><?xml version="1.0" encoding="utf-8"?>
<x:table xmlns:x="http://schemas.openxmlformats.org/spreadsheetml/2006/main" id="4" name="OptionalTasksTable" displayName="OptionalTasksTable" ref="A1:H14" headerRowCount="1">
  <x:tableColumns count="8">
    <x:tableColumn id="1" name="Ngày"/>
    <x:tableColumn id="2" name="Thứ"/>
    <x:tableColumn id="3" name="Task phụ chọn"/>
    <x:tableColumn id="4" name="Nhóm"/>
    <x:tableColumn id="5" name="Mục tiêu"/>
    <x:tableColumn id="6" name="Status"/>
    <x:tableColumn id="7" name="Điểm riêng"/>
    <x:tableColumn id="8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a5e46e80be46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bea6fc511d4b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0e92ff7ee64e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7866bccb164ed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  <x:col min="4" max="4" width="18" hidden="0" customWidth="1"/>
    <x:col min="5" max="5" width="12" hidden="0" customWidth="1"/>
    <x:col min="6" max="6" width="10" hidden="0" customWidth="1"/>
    <x:col min="7" max="7" width="12" hidden="0" customWidth="1"/>
    <x:col min="8" max="8" width="10" hidden="0" customWidth="1"/>
  </x:cols>
  <x:sheetData>
    <x:row r="1">
      <x:c r="A1" s="24" t="str">
        <x:v>Demo lịch học 18/06–30/06/2026</x:v>
      </x:c>
    </x:row>
    <x:row r="3">
      <x:c r="A3" s="6" t="str">
        <x:v>KPI tổng</x:v>
      </x:c>
      <x:c r="B3" s="6" t="str">
        <x:v>Công thức</x:v>
      </x:c>
      <x:c r="D3" s="6" t="str">
        <x:v>Nhóm</x:v>
      </x:c>
      <x:c r="E3" s="6" t="str">
        <x:v>Hoàn thành</x:v>
      </x:c>
      <x:c r="F3" s="6" t="str">
        <x:v>Tổng</x:v>
      </x:c>
      <x:c r="G3" s="6" t="str">
        <x:v>Tỷ lệ</x:v>
      </x:c>
      <x:c r="H3" s="6" t="str">
        <x:v>Điểm</x:v>
      </x:c>
    </x:row>
    <x:row r="4">
      <x:c r="A4" t="str">
        <x:v>Task chính đã hoàn thành</x:v>
      </x:c>
      <x:c r="B4" t="n">
        <x:f>COUNTIF('Lịch tháng 6'!I2:I70,"☑*")</x:f>
        <x:v>0</x:v>
      </x:c>
      <x:c r="D4" t="str">
        <x:v>SQLD</x:v>
      </x:c>
      <x:c r="E4" t="n">
        <x:f>COUNTIFS('Lịch tháng 6'!D2:D70,D4,'Lịch tháng 6'!I2:I70,"☑*")</x:f>
        <x:v>0</x:v>
      </x:c>
      <x:c r="F4" t="n">
        <x:f>COUNTIF('Lịch tháng 6'!D2:D70,D4)</x:f>
        <x:v>9</x:v>
      </x:c>
      <x:c r="G4" s="32" t="n">
        <x:f>IF(F4=0,0,E4/F4)</x:f>
        <x:v>0</x:v>
      </x:c>
      <x:c r="H4" t="n">
        <x:f>SUMIFS('Lịch tháng 6'!L2:L70,'Lịch tháng 6'!D2:D70,D4,'Lịch tháng 6'!I2:I70,"☑*")</x:f>
        <x:v>0</x:v>
      </x:c>
    </x:row>
    <x:row r="5">
      <x:c r="A5" t="str">
        <x:v>Tổng task chính</x:v>
      </x:c>
      <x:c r="B5" t="n">
        <x:f>COUNTA('Lịch tháng 6'!E2:E70)</x:f>
        <x:v>69</x:v>
      </x:c>
      <x:c r="D5" t="str">
        <x:v>정보처리기사</x:v>
      </x:c>
      <x:c r="E5" t="n">
        <x:f>COUNTIFS('Lịch tháng 6'!D2:D70,D5,'Lịch tháng 6'!I2:I70,"☑*")</x:f>
        <x:v>0</x:v>
      </x:c>
      <x:c r="F5" t="n">
        <x:f>COUNTIF('Lịch tháng 6'!D2:D70,D5)</x:f>
        <x:v>7</x:v>
      </x:c>
      <x:c r="G5" s="32" t="n">
        <x:f>IF(F5=0,0,E5/F5)</x:f>
        <x:v>0</x:v>
      </x:c>
      <x:c r="H5" t="n">
        <x:f>SUMIFS('Lịch tháng 6'!L2:L70,'Lịch tháng 6'!D2:D70,D5,'Lịch tháng 6'!I2:I70,"☑*")</x:f>
        <x:v>0</x:v>
      </x:c>
    </x:row>
    <x:row r="6">
      <x:c r="A6" t="str">
        <x:v>Tỷ lệ hoàn thành task chính</x:v>
      </x:c>
      <x:c r="B6" s="32" t="n">
        <x:f>IF(B5=0,0,B4/B5)</x:f>
        <x:v>0</x:v>
      </x:c>
      <x:c r="D6" t="str">
        <x:v>IELTS</x:v>
      </x:c>
      <x:c r="E6" t="n">
        <x:f>COUNTIFS('Lịch tháng 6'!D2:D70,D6,'Lịch tháng 6'!I2:I70,"☑*")</x:f>
        <x:v>0</x:v>
      </x:c>
      <x:c r="F6" t="n">
        <x:f>COUNTIF('Lịch tháng 6'!D2:D70,D6)</x:f>
        <x:v>14</x:v>
      </x:c>
      <x:c r="G6" s="32" t="n">
        <x:f>IF(F6=0,0,E6/F6)</x:f>
        <x:v>0</x:v>
      </x:c>
      <x:c r="H6" t="n">
        <x:f>SUMIFS('Lịch tháng 6'!L2:L70,'Lịch tháng 6'!D2:D70,D6,'Lịch tháng 6'!I2:I70,"☑*")</x:f>
        <x:v>0</x:v>
      </x:c>
    </x:row>
    <x:row r="7">
      <x:c r="A7" t="str">
        <x:v>Task bị dời sang ngày mai</x:v>
      </x:c>
      <x:c r="B7" t="n">
        <x:f>COUNTIF('Lịch tháng 6'!J2:J70,"Dời sang ngày mai")</x:f>
        <x:v>0</x:v>
      </x:c>
      <x:c r="D7" t="str">
        <x:v>English</x:v>
      </x:c>
      <x:c r="E7" t="n">
        <x:f>COUNTIFS('Lịch tháng 6'!D2:D70,D7,'Lịch tháng 6'!I2:I70,"☑*")</x:f>
        <x:v>0</x:v>
      </x:c>
      <x:c r="F7" t="n">
        <x:f>COUNTIF('Lịch tháng 6'!D2:D70,D7)</x:f>
        <x:v>4</x:v>
      </x:c>
      <x:c r="G7" s="32" t="n">
        <x:f>IF(F7=0,0,E7/F7)</x:f>
        <x:v>0</x:v>
      </x:c>
      <x:c r="H7" t="n">
        <x:f>SUMIFS('Lịch tháng 6'!L2:L70,'Lịch tháng 6'!D2:D70,D7,'Lịch tháng 6'!I2:I70,"☑*")</x:f>
        <x:v>0</x:v>
      </x:c>
    </x:row>
    <x:row r="8">
      <x:c r="A8" t="str">
        <x:v>Điểm task chính đạt</x:v>
      </x:c>
      <x:c r="B8" t="n">
        <x:f>SUMIF('Lịch tháng 6'!I2:I70,"☑*",'Lịch tháng 6'!L2:L70)</x:f>
        <x:v>0</x:v>
      </x:c>
      <x:c r="D8" t="str">
        <x:v>Korean</x:v>
      </x:c>
      <x:c r="E8" t="n">
        <x:f>COUNTIFS('Lịch tháng 6'!D2:D70,D8,'Lịch tháng 6'!I2:I70,"☑*")</x:f>
        <x:v>0</x:v>
      </x:c>
      <x:c r="F8" t="n">
        <x:f>COUNTIF('Lịch tháng 6'!D2:D70,D8)</x:f>
        <x:v>3</x:v>
      </x:c>
      <x:c r="G8" s="32" t="n">
        <x:f>IF(F8=0,0,E8/F8)</x:f>
        <x:v>0</x:v>
      </x:c>
      <x:c r="H8" t="n">
        <x:f>SUMIFS('Lịch tháng 6'!L2:L70,'Lịch tháng 6'!D2:D70,D8,'Lịch tháng 6'!I2:I70,"☑*")</x:f>
        <x:v>0</x:v>
      </x:c>
    </x:row>
    <x:row r="9">
      <x:c r="A9" t="str">
        <x:v>Task phụ đã hoàn thành</x:v>
      </x:c>
      <x:c r="B9" t="n">
        <x:f>COUNTIF('Task phụ'!F2:F14,"☑*")</x:f>
        <x:v>0</x:v>
      </x:c>
      <x:c r="D9" t="str">
        <x:v>Spring Boot</x:v>
      </x:c>
      <x:c r="E9" t="n">
        <x:f>COUNTIFS('Lịch tháng 6'!D2:D70,D9,'Lịch tháng 6'!I2:I70,"☑*")</x:f>
        <x:v>0</x:v>
      </x:c>
      <x:c r="F9" t="n">
        <x:f>COUNTIF('Lịch tháng 6'!D2:D70,D9)</x:f>
        <x:v>4</x:v>
      </x:c>
      <x:c r="G9" s="32" t="n">
        <x:f>IF(F9=0,0,E9/F9)</x:f>
        <x:v>0</x:v>
      </x:c>
      <x:c r="H9" t="n">
        <x:f>SUMIFS('Lịch tháng 6'!L2:L70,'Lịch tháng 6'!D2:D70,D9,'Lịch tháng 6'!I2:I70,"☑*")</x:f>
        <x:v>0</x:v>
      </x:c>
    </x:row>
    <x:row r="10">
      <x:c r="A10" t="str">
        <x:v>Điểm task phụ</x:v>
      </x:c>
      <x:c r="B10" t="n">
        <x:f>SUMIF('Task phụ'!F2:F14,"☑*",'Task phụ'!G2:G14)</x:f>
        <x:v>0</x:v>
      </x:c>
      <x:c r="D10" t="str">
        <x:v>React/WebSquare</x:v>
      </x:c>
      <x:c r="E10" t="n">
        <x:f>COUNTIFS('Lịch tháng 6'!D2:D70,D10,'Lịch tháng 6'!I2:I70,"☑*")</x:f>
        <x:v>0</x:v>
      </x:c>
      <x:c r="F10" t="n">
        <x:f>COUNTIF('Lịch tháng 6'!D2:D70,D10)</x:f>
        <x:v>0</x:v>
      </x:c>
      <x:c r="G10" s="32" t="n">
        <x:f>IF(F10=0,0,E10/F10)</x:f>
        <x:v>0</x:v>
      </x:c>
      <x:c r="H10" t="n">
        <x:f>SUMIFS('Lịch tháng 6'!L2:L70,'Lịch tháng 6'!D2:D70,D10,'Lịch tháng 6'!I2:I70,"☑*")</x:f>
        <x:v>0</x:v>
      </x:c>
    </x:row>
    <x:row r="11">
      <x:c r="D11" t="str">
        <x:v>Exercise</x:v>
      </x:c>
      <x:c r="E11" t="n">
        <x:f>COUNTIFS('Lịch tháng 6'!D2:D70,D11,'Lịch tháng 6'!I2:I70,"☑*")</x:f>
        <x:v>0</x:v>
      </x:c>
      <x:c r="F11" t="n">
        <x:f>COUNTIF('Lịch tháng 6'!D2:D70,D11)</x:f>
        <x:v>13</x:v>
      </x:c>
      <x:c r="G11" s="32" t="n">
        <x:f>IF(F11=0,0,E11/F11)</x:f>
        <x:v>0</x:v>
      </x:c>
      <x:c r="H11" t="n">
        <x:f>SUMIFS('Lịch tháng 6'!L2:L70,'Lịch tháng 6'!D2:D70,D11,'Lịch tháng 6'!I2:I70,"☑*")</x:f>
        <x:v>0</x:v>
      </x:c>
    </x:row>
    <x:row r="12">
      <x:c r="A12" s="36" t="str">
        <x:v>Hướng dẫn dùng file</x:v>
      </x:c>
      <x:c r="D12" t="str">
        <x:v>Swimming</x:v>
      </x:c>
      <x:c r="E12" t="n">
        <x:f>COUNTIFS('Lịch tháng 6'!D2:D70,D12,'Lịch tháng 6'!I2:I70,"☑*")</x:f>
        <x:v>0</x:v>
      </x:c>
      <x:c r="F12" t="n">
        <x:f>COUNTIF('Lịch tháng 6'!D2:D70,D12)</x:f>
        <x:v>2</x:v>
      </x:c>
      <x:c r="G12" s="32" t="n">
        <x:f>IF(F12=0,0,E12/F12)</x:f>
        <x:v>0</x:v>
      </x:c>
      <x:c r="H12" t="n">
        <x:f>SUMIFS('Lịch tháng 6'!L2:L70,'Lịch tháng 6'!D2:D70,D12,'Lịch tháng 6'!I2:I70,"☑*")</x:f>
        <x:v>0</x:v>
      </x:c>
    </x:row>
    <x:row r="13">
      <x:c r="A13" s="12" t="str">
        <x:v>1</x:v>
      </x:c>
      <x:c r="B13" s="12" t="str">
        <x:v>Ở sheet Lịch tháng 6, cập nhật cột Status sau mỗi block học.</x:v>
      </x:c>
      <x:c r="D13" t="str">
        <x:v>Task phụ</x:v>
      </x:c>
      <x:c r="E13" t="n">
        <x:f>COUNTIFS('Lịch tháng 6'!D2:D70,D13,'Lịch tháng 6'!I2:I70,"☑*")</x:f>
        <x:v>0</x:v>
      </x:c>
      <x:c r="F13" t="n">
        <x:f>COUNTIF('Lịch tháng 6'!D2:D70,D13)</x:f>
        <x:v>13</x:v>
      </x:c>
      <x:c r="G13" s="32" t="n">
        <x:f>IF(F13=0,0,E13/F13)</x:f>
        <x:v>0</x:v>
      </x:c>
      <x:c r="H13" t="n">
        <x:f>SUMIFS('Lịch tháng 6'!L2:L70,'Lịch tháng 6'!D2:D70,D13,'Lịch tháng 6'!I2:I70,"☑*")</x:f>
        <x:v>0</x:v>
      </x:c>
    </x:row>
    <x:row r="14">
      <x:c r="A14" s="12" t="str">
        <x:v>2</x:v>
      </x:c>
      <x:c r="B14" s="12" t="str">
        <x:v>Nếu không hoàn thành task, chọn Action = 'Dời sang ngày mai'. Sheet Task dời ngày mai sẽ tự liệt kê.</x:v>
      </x:c>
    </x:row>
    <x:row r="15">
      <x:c r="A15" s="12" t="str">
        <x:v>3</x:v>
      </x:c>
      <x:c r="B15" s="12" t="str">
        <x:v>Sheet Task phụ dùng dropdown để chọn việc phụ/chứng chỉ/skill thêm; tiến độ tính riêng trên Dashboard.</x:v>
      </x:c>
    </x:row>
    <x:row r="16">
      <x:c r="A16" s="12" t="str">
        <x:v>4</x:v>
      </x:c>
      <x:c r="B16" s="12" t="str">
        <x:v>Các checklist tuần/tháng dùng ô ☐/☑ để tick mục tiêu.</x:v>
      </x:c>
    </x:row>
    <x:row r="17">
      <x:c r="A17" s="12" t="str">
        <x:v>5</x:v>
      </x:c>
      <x:c r="B17" s="12" t="str">
        <x:v>Bản .xlsx không chạy macro, nên 'button dời task' được làm dạng dropdown an toàn; bản .xlsm có thể thêm nút thật sau.</x:v>
      </x:c>
    </x:row>
  </x:sheetData>
  <x:mergeCells>
    <x:mergeCell ref="A1:H1"/>
    <x:mergeCell ref="A12:H12"/>
  </x:mergeCells>
  <x:conditionalFormatting sqref="B6:B6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G4:G13">
    <x:cfRule type="dataBar" priority="2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0F766E"/>
            </x14:dataBar>
          </x14:cfRule>
          <xm:sqref>B6:B6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0F766E"/>
            </x14:dataBar>
          </x14:cfRule>
          <xm:sqref>G4:G13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6" hidden="0" customWidth="1"/>
    <x:col min="5" max="5" width="24" hidden="0" customWidth="1"/>
    <x:col min="6" max="6" width="42" hidden="0" customWidth="1"/>
    <x:col min="7" max="7" width="28" hidden="0" customWidth="1"/>
    <x:col min="8" max="8" width="12" hidden="0" customWidth="1"/>
    <x:col min="9" max="9" width="16" hidden="0" customWidth="1"/>
    <x:col min="10" max="10" width="18" hidden="0" customWidth="1"/>
    <x:col min="11" max="11" width="14" hidden="0" customWidth="1"/>
    <x:col min="12" max="12" width="8" hidden="0" customWidth="1"/>
    <x:col min="13" max="13" width="28" hidden="0" customWidth="1"/>
  </x:cols>
  <x:sheetData>
    <x:row r="1">
      <x:c r="A1" s="14" t="str">
        <x:v>Ngày</x:v>
      </x:c>
      <x:c r="B1" s="6" t="str">
        <x:v>Thứ</x:v>
      </x:c>
      <x:c r="C1" s="6" t="str">
        <x:v>Khung giờ</x:v>
      </x:c>
      <x:c r="D1" s="6" t="str">
        <x:v>Nhóm</x:v>
      </x:c>
      <x:c r="E1" s="6" t="str">
        <x:v>Task chính</x:v>
      </x:c>
      <x:c r="F1" s="6" t="str">
        <x:v>Ghi chú/Rule</x:v>
      </x:c>
      <x:c r="G1" s="6" t="str">
        <x:v>Output tối thiểu</x:v>
      </x:c>
      <x:c r="H1" s="6" t="str">
        <x:v>Ưu tiên</x:v>
      </x:c>
      <x:c r="I1" s="6" t="str">
        <x:v>Status</x:v>
      </x:c>
      <x:c r="J1" s="6" t="str">
        <x:v>Action</x:v>
      </x:c>
      <x:c r="K1" s="14" t="str">
        <x:v>Ngày dời sang</x:v>
      </x:c>
      <x:c r="L1" s="6" t="str">
        <x:v>Điểm</x:v>
      </x:c>
      <x:c r="M1" s="6" t="str">
        <x:v>Ghi chú thực tế</x:v>
      </x:c>
    </x:row>
    <x:row r="2">
      <x:c r="A2" s="16" t="n">
        <x:v>46191</x:v>
      </x:c>
      <x:c r="B2" s="16" t="str">
        <x:v>Thứ 5</x:v>
      </x:c>
      <x:c r="C2" s="16" t="str">
        <x:v>20:35 - 20:55</x:v>
      </x:c>
      <x:c r="D2" s="16" t="str">
        <x:v>Exercise</x:v>
      </x:c>
      <x:c r="E2" s="16" t="str">
        <x:v>Tập thể dục tại nhà</x:v>
      </x:c>
      <x:c r="F2" s="16" t="str">
        <x:v>15–20 phút: mobility/bodyweight nhẹ, không tập quá nặng trước giờ học</x:v>
      </x:c>
      <x:c r="G2" s="16" t="str">
        <x:v>Hoàn thành 1 session</x:v>
      </x:c>
      <x:c r="H2" s="16" t="str">
        <x:v>Trung bình</x:v>
      </x:c>
      <x:c r="I2" s="16" t="str">
        <x:v>☐ Chưa làm</x:v>
      </x:c>
      <x:c r="J2" s="16" t="str">
        <x:v>Giữ nguyên</x:v>
      </x:c>
      <x:c r="K2" s="16" t="str">
        <x:f>IF(J2="Dời sang ngày mai",A2+1,"")</x:f>
      </x:c>
      <x:c r="L2" s="16" t="n">
        <x:v>1</x:v>
      </x:c>
      <x:c r="M2" s="16" t="str"/>
    </x:row>
    <x:row r="3">
      <x:c r="A3" s="16" t="n">
        <x:v>46191</x:v>
      </x:c>
      <x:c r="B3" s="16" t="str">
        <x:v>Thứ 5</x:v>
      </x:c>
      <x:c r="C3" s="16" t="str">
        <x:v>21:00 - 22:30</x:v>
      </x:c>
      <x:c r="D3" s="16" t="str">
        <x:v>SQLD</x:v>
      </x:c>
      <x:c r="E3" s="16" t="str">
        <x:v>SQLD luyện tập</x:v>
      </x:c>
      <x:c r="F3" s="16" t="str">
        <x:v>Chọn 1: làm 1 mock mini / 2 đề nhỏ / ôn lý thuyết môn 2</x:v>
      </x:c>
      <x:c r="G3" s="16" t="str">
        <x:v>Có điểm hoặc error log</x:v>
      </x:c>
      <x:c r="H3" s="16" t="str">
        <x:v>Cao</x:v>
      </x:c>
      <x:c r="I3" s="16" t="str">
        <x:v>☐ Chưa làm</x:v>
      </x:c>
      <x:c r="J3" s="16" t="str">
        <x:v>Giữ nguyên</x:v>
      </x:c>
      <x:c r="K3" s="16" t="str">
        <x:f>IF(J3="Dời sang ngày mai",A3+1,"")</x:f>
      </x:c>
      <x:c r="L3" s="16" t="n">
        <x:v>3</x:v>
      </x:c>
      <x:c r="M3" s="16" t="str"/>
    </x:row>
    <x:row r="4">
      <x:c r="A4" s="16" t="n">
        <x:v>46191</x:v>
      </x:c>
      <x:c r="B4" s="16" t="str">
        <x:v>Thứ 5</x:v>
      </x:c>
      <x:c r="C4" s="16" t="str">
        <x:v>22:30 - 00:00</x:v>
      </x:c>
      <x:c r="D4" s="16" t="str">
        <x:v>Spring Boot</x:v>
      </x:c>
      <x:c r="E4" s="16" t="str">
        <x:v>Spring Boot / React-WebSquare</x:v>
      </x:c>
      <x:c r="F4" s="16" t="str">
        <x:v>Ít thời gian: học lý thuyết + 1 commit. Nhiều thời gian: hoàn thành 1 tính năng</x:v>
      </x:c>
      <x:c r="G4" s="16" t="str">
        <x:v>1 commit hoặc 1 feature</x:v>
      </x:c>
      <x:c r="H4" s="16" t="str">
        <x:v>Trung bình</x:v>
      </x:c>
      <x:c r="I4" s="16" t="str">
        <x:v>☐ Chưa làm</x:v>
      </x:c>
      <x:c r="J4" s="16" t="str">
        <x:v>Giữ nguyên</x:v>
      </x:c>
      <x:c r="K4" s="16" t="str">
        <x:f>IF(J4="Dời sang ngày mai",A4+1,"")</x:f>
      </x:c>
      <x:c r="L4" s="16" t="n">
        <x:v>2</x:v>
      </x:c>
      <x:c r="M4" s="16" t="str"/>
    </x:row>
    <x:row r="5">
      <x:c r="A5" s="16" t="n">
        <x:v>46191</x:v>
      </x:c>
      <x:c r="B5" s="16" t="str">
        <x:v>Thứ 5</x:v>
      </x:c>
      <x:c r="C5" s="16" t="str">
        <x:v>Dòng phụ</x:v>
      </x:c>
      <x:c r="D5" s="16" t="str">
        <x:v>Task phụ</x:v>
      </x:c>
      <x:c r="E5" s="16" t="str">
        <x:v>Chọn task phụ</x:v>
      </x:c>
      <x:c r="F5" s="16" t="str">
        <x:v>Chọn từ dropdown: task chi tiết hiện có + chứng chỉ/skill phụ</x:v>
      </x:c>
      <x:c r="G5" s="16" t="str">
        <x:v>Tính thành tích riêng</x:v>
      </x:c>
      <x:c r="H5" s="16" t="str">
        <x:v>Thấp</x:v>
      </x:c>
      <x:c r="I5" s="16" t="str">
        <x:v>☐ Chưa làm</x:v>
      </x:c>
      <x:c r="J5" s="16" t="str">
        <x:v>Giữ nguyên</x:v>
      </x:c>
      <x:c r="K5" s="16" t="str">
        <x:f>IF(J5="Dời sang ngày mai",A5+1,"")</x:f>
      </x:c>
      <x:c r="L5" s="16" t="n">
        <x:v>1</x:v>
      </x:c>
      <x:c r="M5" s="16" t="str"/>
    </x:row>
    <x:row r="6">
      <x:c r="A6" s="16" t="n">
        <x:v>46192</x:v>
      </x:c>
      <x:c r="B6" s="16" t="str">
        <x:v>Thứ 6</x:v>
      </x:c>
      <x:c r="C6" s="16" t="str">
        <x:v>20:35 - 20:55</x:v>
      </x:c>
      <x:c r="D6" s="16" t="str">
        <x:v>Exercise</x:v>
      </x:c>
      <x:c r="E6" s="16" t="str">
        <x:v>Tập thể dục tại nhà</x:v>
      </x:c>
      <x:c r="F6" s="16" t="str">
        <x:v>15–20 phút: mobility/bodyweight nhẹ, không tập quá nặng trước giờ học</x:v>
      </x:c>
      <x:c r="G6" s="16" t="str">
        <x:v>Hoàn thành 1 session</x:v>
      </x:c>
      <x:c r="H6" s="16" t="str">
        <x:v>Trung bình</x:v>
      </x:c>
      <x:c r="I6" s="16" t="str">
        <x:v>☐ Chưa làm</x:v>
      </x:c>
      <x:c r="J6" s="16" t="str">
        <x:v>Giữ nguyên</x:v>
      </x:c>
      <x:c r="K6" s="16" t="str">
        <x:f>IF(J6="Dời sang ngày mai",A6+1,"")</x:f>
      </x:c>
      <x:c r="L6" s="16" t="n">
        <x:v>1</x:v>
      </x:c>
      <x:c r="M6" s="16" t="str"/>
    </x:row>
    <x:row r="7">
      <x:c r="A7" s="16" t="n">
        <x:v>46192</x:v>
      </x:c>
      <x:c r="B7" s="16" t="str">
        <x:v>Thứ 6</x:v>
      </x:c>
      <x:c r="C7" s="16" t="str">
        <x:v>21:00 - 22:15</x:v>
      </x:c>
      <x:c r="D7" s="16" t="str">
        <x:v>IELTS</x:v>
      </x:c>
      <x:c r="E7" s="16" t="str">
        <x:v>IELTS Homework + Review</x:v>
      </x:c>
      <x:c r="F7" s="16" t="str">
        <x:v>Từ mới + English Grammar in Use + 1 IELTS skill hoặc vài unit Cambridge</x:v>
      </x:c>
      <x:c r="G7" s="16" t="str">
        <x:v>Homework + lỗi sai</x:v>
      </x:c>
      <x:c r="H7" s="16" t="str">
        <x:v>Trung bình</x:v>
      </x:c>
      <x:c r="I7" s="16" t="str">
        <x:v>☐ Chưa làm</x:v>
      </x:c>
      <x:c r="J7" s="16" t="str">
        <x:v>Giữ nguyên</x:v>
      </x:c>
      <x:c r="K7" s="16" t="str">
        <x:f>IF(J7="Dời sang ngày mai",A7+1,"")</x:f>
      </x:c>
      <x:c r="L7" s="16" t="n">
        <x:v>2</x:v>
      </x:c>
      <x:c r="M7" s="16" t="str"/>
    </x:row>
    <x:row r="8">
      <x:c r="A8" s="16" t="n">
        <x:v>46192</x:v>
      </x:c>
      <x:c r="B8" s="16" t="str">
        <x:v>Thứ 6</x:v>
      </x:c>
      <x:c r="C8" s="16" t="str">
        <x:v>22:30 - 00:00</x:v>
      </x:c>
      <x:c r="D8" s="16" t="str">
        <x:v>IELTS</x:v>
      </x:c>
      <x:c r="E8" s="16" t="str">
        <x:v>IELTS Class</x:v>
      </x:c>
      <x:c r="F8" s="16" t="str">
        <x:v>Đi học lớp; sau lớp chỉ ghi từ mới/homework, không học thêm</x:v>
      </x:c>
      <x:c r="G8" s="16" t="str">
        <x:v>Note homework + vocab</x:v>
      </x:c>
      <x:c r="H8" s="16" t="str">
        <x:v>Cao</x:v>
      </x:c>
      <x:c r="I8" s="16" t="str">
        <x:v>☐ Chưa làm</x:v>
      </x:c>
      <x:c r="J8" s="16" t="str">
        <x:v>Giữ nguyên</x:v>
      </x:c>
      <x:c r="K8" s="16" t="str">
        <x:f>IF(J8="Dời sang ngày mai",A8+1,"")</x:f>
      </x:c>
      <x:c r="L8" s="16" t="n">
        <x:v>2</x:v>
      </x:c>
      <x:c r="M8" s="16" t="str"/>
    </x:row>
    <x:row r="9">
      <x:c r="A9" s="16" t="n">
        <x:v>46192</x:v>
      </x:c>
      <x:c r="B9" s="16" t="str">
        <x:v>Thứ 6</x:v>
      </x:c>
      <x:c r="C9" s="16" t="str">
        <x:v>Dòng phụ</x:v>
      </x:c>
      <x:c r="D9" s="16" t="str">
        <x:v>Task phụ</x:v>
      </x:c>
      <x:c r="E9" s="16" t="str">
        <x:v>Chọn task phụ</x:v>
      </x:c>
      <x:c r="F9" s="16" t="str">
        <x:v>Chọn từ dropdown: task chi tiết hiện có + chứng chỉ/skill phụ</x:v>
      </x:c>
      <x:c r="G9" s="16" t="str">
        <x:v>Tính thành tích riêng</x:v>
      </x:c>
      <x:c r="H9" s="16" t="str">
        <x:v>Thấp</x:v>
      </x:c>
      <x:c r="I9" s="16" t="str">
        <x:v>☐ Chưa làm</x:v>
      </x:c>
      <x:c r="J9" s="16" t="str">
        <x:v>Giữ nguyên</x:v>
      </x:c>
      <x:c r="K9" s="16" t="str">
        <x:f>IF(J9="Dời sang ngày mai",A9+1,"")</x:f>
      </x:c>
      <x:c r="L9" s="16" t="n">
        <x:v>1</x:v>
      </x:c>
      <x:c r="M9" s="16" t="str"/>
    </x:row>
    <x:row r="10">
      <x:c r="A10" s="16" t="n">
        <x:v>46193</x:v>
      </x:c>
      <x:c r="B10" s="16" t="str">
        <x:v>Thứ 7</x:v>
      </x:c>
      <x:c r="C10" s="16" t="str">
        <x:v>08:30 - 08:50</x:v>
      </x:c>
      <x:c r="D10" s="16" t="str">
        <x:v>Exercise</x:v>
      </x:c>
      <x:c r="E10" s="16" t="str">
        <x:v>Tập thể dục tại nhà</x:v>
      </x:c>
      <x:c r="F10" s="16" t="str">
        <x:v>15–20 phút: giãn cơ + bodyweight nhẹ</x:v>
      </x:c>
      <x:c r="G10" s="16" t="str">
        <x:v>Hoàn thành 1 session</x:v>
      </x:c>
      <x:c r="H10" s="16" t="str">
        <x:v>Trung bình</x:v>
      </x:c>
      <x:c r="I10" s="16" t="str">
        <x:v>☐ Chưa làm</x:v>
      </x:c>
      <x:c r="J10" s="16" t="str">
        <x:v>Giữ nguyên</x:v>
      </x:c>
      <x:c r="K10" s="16" t="str">
        <x:f>IF(J10="Dời sang ngày mai",A10+1,"")</x:f>
      </x:c>
      <x:c r="L10" s="16" t="n">
        <x:v>1</x:v>
      </x:c>
      <x:c r="M10" s="16" t="str"/>
    </x:row>
    <x:row r="11">
      <x:c r="A11" s="16" t="n">
        <x:v>46193</x:v>
      </x:c>
      <x:c r="B11" s="16" t="str">
        <x:v>Thứ 7</x:v>
      </x:c>
      <x:c r="C11" s="16" t="str">
        <x:v>13:00 - 14:30</x:v>
      </x:c>
      <x:c r="D11" s="16" t="str">
        <x:v>Swimming</x:v>
      </x:c>
      <x:c r="E11" s="16" t="str">
        <x:v>Bơi cuối tuần</x:v>
      </x:c>
      <x:c r="F11" s="16" t="str">
        <x:v>Bể mở 13:00–15:00; bơi 1–1.5h, không cần ép đủ 2h</x:v>
      </x:c>
      <x:c r="G11" s="16" t="str">
        <x:v>Bơi + tắm nghỉ xong trước 15:00</x:v>
      </x:c>
      <x:c r="H11" s="16" t="str">
        <x:v>Trung bình</x:v>
      </x:c>
      <x:c r="I11" s="16" t="str">
        <x:v>☐ Chưa làm</x:v>
      </x:c>
      <x:c r="J11" s="16" t="str">
        <x:v>Giữ nguyên</x:v>
      </x:c>
      <x:c r="K11" s="16" t="str">
        <x:f>IF(J11="Dời sang ngày mai",A11+1,"")</x:f>
      </x:c>
      <x:c r="L11" s="16" t="n">
        <x:v>2</x:v>
      </x:c>
      <x:c r="M11" s="16" t="str"/>
    </x:row>
    <x:row r="12">
      <x:c r="A12" s="16" t="n">
        <x:v>46193</x:v>
      </x:c>
      <x:c r="B12" s="16" t="str">
        <x:v>Thứ 7</x:v>
      </x:c>
      <x:c r="C12" s="16" t="str">
        <x:v>09:00 - 12:00</x:v>
      </x:c>
      <x:c r="D12" s="16" t="str">
        <x:v>SQLD</x:v>
      </x:c>
      <x:c r="E12" s="16" t="str">
        <x:v>SQLD block</x:v>
      </x:c>
      <x:c r="F12" s="16" t="str">
        <x:v>Chọn 1: làm 1 mock / 2 đề / ôn lý thuyết theo lỗi sai</x:v>
      </x:c>
      <x:c r="G12" s="16" t="str">
        <x:v>Điểm mock hoặc error log</x:v>
      </x:c>
      <x:c r="H12" s="16" t="str">
        <x:v>Cao</x:v>
      </x:c>
      <x:c r="I12" s="16" t="str">
        <x:v>☐ Chưa làm</x:v>
      </x:c>
      <x:c r="J12" s="16" t="str">
        <x:v>Giữ nguyên</x:v>
      </x:c>
      <x:c r="K12" s="16" t="str">
        <x:f>IF(J12="Dời sang ngày mai",A12+1,"")</x:f>
      </x:c>
      <x:c r="L12" s="16" t="n">
        <x:v>4</x:v>
      </x:c>
      <x:c r="M12" s="16" t="str"/>
    </x:row>
    <x:row r="13">
      <x:c r="A13" s="16" t="n">
        <x:v>46193</x:v>
      </x:c>
      <x:c r="B13" s="16" t="str">
        <x:v>Thứ 7</x:v>
      </x:c>
      <x:c r="C13" s="16" t="str">
        <x:v>15:00 - 18:00</x:v>
      </x:c>
      <x:c r="D13" s="16" t="str">
        <x:v>정보처리기사</x:v>
      </x:c>
      <x:c r="E13" s="16" t="str">
        <x:v>정보처리기사 block</x:v>
      </x:c>
      <x:c r="F13" s="16" t="str">
        <x:v>Chọn 1: làm 1 mock / 2 đề 기출 / ôn lý thuyết trọng điểm</x:v>
      </x:c>
      <x:c r="G13" s="16" t="str">
        <x:v>Điểm đề hoặc keyword log</x:v>
      </x:c>
      <x:c r="H13" s="16" t="str">
        <x:v>Cao</x:v>
      </x:c>
      <x:c r="I13" s="16" t="str">
        <x:v>☐ Chưa làm</x:v>
      </x:c>
      <x:c r="J13" s="16" t="str">
        <x:v>Giữ nguyên</x:v>
      </x:c>
      <x:c r="K13" s="16" t="str">
        <x:f>IF(J13="Dời sang ngày mai",A13+1,"")</x:f>
      </x:c>
      <x:c r="L13" s="16" t="n">
        <x:v>4</x:v>
      </x:c>
      <x:c r="M13" s="16" t="str"/>
    </x:row>
    <x:row r="14">
      <x:c r="A14" s="16" t="n">
        <x:v>46193</x:v>
      </x:c>
      <x:c r="B14" s="16" t="str">
        <x:v>Thứ 7</x:v>
      </x:c>
      <x:c r="C14" s="16" t="str">
        <x:v>19:00 - 21:00</x:v>
      </x:c>
      <x:c r="D14" s="16" t="str">
        <x:v>IELTS</x:v>
      </x:c>
      <x:c r="E14" s="16" t="str">
        <x:v>IELTS Reading/Listening</x:v>
      </x:c>
      <x:c r="F14" s="16" t="str">
        <x:v>Từ mới + English Grammar in Use + 1 skill IELTS hoặc vài unit Cambridge</x:v>
      </x:c>
      <x:c r="G14" s="16" t="str">
        <x:v>1 skill output + vocab</x:v>
      </x:c>
      <x:c r="H14" s="16" t="str">
        <x:v>Trung bình</x:v>
      </x:c>
      <x:c r="I14" s="16" t="str">
        <x:v>☐ Chưa làm</x:v>
      </x:c>
      <x:c r="J14" s="16" t="str">
        <x:v>Giữ nguyên</x:v>
      </x:c>
      <x:c r="K14" s="16" t="str">
        <x:f>IF(J14="Dời sang ngày mai",A14+1,"")</x:f>
      </x:c>
      <x:c r="L14" s="16" t="n">
        <x:v>2</x:v>
      </x:c>
      <x:c r="M14" s="16" t="str"/>
    </x:row>
    <x:row r="15">
      <x:c r="A15" s="16" t="n">
        <x:v>46193</x:v>
      </x:c>
      <x:c r="B15" s="16" t="str">
        <x:v>Thứ 7</x:v>
      </x:c>
      <x:c r="C15" s="16" t="str">
        <x:v>21:00 - 22:30</x:v>
      </x:c>
      <x:c r="D15" s="16" t="str">
        <x:v>Spring Boot</x:v>
      </x:c>
      <x:c r="E15" s="16" t="str">
        <x:v>Spring Boot / React-WebSquare</x:v>
      </x:c>
      <x:c r="F15" s="16" t="str">
        <x:v>Ít thời gian: học lý thuyết + 1 commit. Nhiều thời gian: hoàn thành 1 tính năng</x:v>
      </x:c>
      <x:c r="G15" s="16" t="str">
        <x:v>1 commit hoặc 1 feature</x:v>
      </x:c>
      <x:c r="H15" s="16" t="str">
        <x:v>Trung bình</x:v>
      </x:c>
      <x:c r="I15" s="16" t="str">
        <x:v>☐ Chưa làm</x:v>
      </x:c>
      <x:c r="J15" s="16" t="str">
        <x:v>Giữ nguyên</x:v>
      </x:c>
      <x:c r="K15" s="16" t="str">
        <x:f>IF(J15="Dời sang ngày mai",A15+1,"")</x:f>
      </x:c>
      <x:c r="L15" s="16" t="n">
        <x:v>2</x:v>
      </x:c>
      <x:c r="M15" s="16" t="str"/>
    </x:row>
    <x:row r="16">
      <x:c r="A16" s="16" t="n">
        <x:v>46193</x:v>
      </x:c>
      <x:c r="B16" s="16" t="str">
        <x:v>Thứ 7</x:v>
      </x:c>
      <x:c r="C16" s="16" t="str">
        <x:v>22:30 - 23:00</x:v>
      </x:c>
      <x:c r="D16" s="16" t="str">
        <x:v>English</x:v>
      </x:c>
      <x:c r="E16" s="16" t="str">
        <x:v>English Anki</x:v>
      </x:c>
      <x:c r="F16" s="16" t="str">
        <x:v>10 từ mới + review; không nhồi quá nhiều cuối ngày</x:v>
      </x:c>
      <x:c r="G16" s="16" t="str">
        <x:v>Anki done</x:v>
      </x:c>
      <x:c r="H16" s="16" t="str">
        <x:v>Thấp</x:v>
      </x:c>
      <x:c r="I16" s="16" t="str">
        <x:v>☐ Chưa làm</x:v>
      </x:c>
      <x:c r="J16" s="16" t="str">
        <x:v>Giữ nguyên</x:v>
      </x:c>
      <x:c r="K16" s="16" t="str">
        <x:f>IF(J16="Dời sang ngày mai",A16+1,"")</x:f>
      </x:c>
      <x:c r="L16" s="16" t="n">
        <x:v>1</x:v>
      </x:c>
      <x:c r="M16" s="16" t="str"/>
    </x:row>
    <x:row r="17">
      <x:c r="A17" s="16" t="n">
        <x:v>46193</x:v>
      </x:c>
      <x:c r="B17" s="16" t="str">
        <x:v>Thứ 7</x:v>
      </x:c>
      <x:c r="C17" s="16" t="str">
        <x:v>Dòng phụ</x:v>
      </x:c>
      <x:c r="D17" s="16" t="str">
        <x:v>Task phụ</x:v>
      </x:c>
      <x:c r="E17" s="16" t="str">
        <x:v>Chọn task phụ</x:v>
      </x:c>
      <x:c r="F17" s="16" t="str">
        <x:v>Chọn từ dropdown: task chi tiết hiện có + chứng chỉ/skill phụ</x:v>
      </x:c>
      <x:c r="G17" s="16" t="str">
        <x:v>Tính thành tích riêng</x:v>
      </x:c>
      <x:c r="H17" s="16" t="str">
        <x:v>Thấp</x:v>
      </x:c>
      <x:c r="I17" s="16" t="str">
        <x:v>☐ Chưa làm</x:v>
      </x:c>
      <x:c r="J17" s="16" t="str">
        <x:v>Giữ nguyên</x:v>
      </x:c>
      <x:c r="K17" s="16" t="str">
        <x:f>IF(J17="Dời sang ngày mai",A17+1,"")</x:f>
      </x:c>
      <x:c r="L17" s="16" t="n">
        <x:v>1</x:v>
      </x:c>
      <x:c r="M17" s="16" t="str"/>
    </x:row>
    <x:row r="18">
      <x:c r="A18" s="16" t="n">
        <x:v>46194</x:v>
      </x:c>
      <x:c r="B18" s="16" t="str">
        <x:v>Chủ nhật</x:v>
      </x:c>
      <x:c r="C18" s="16" t="str">
        <x:v>08:30 - 08:50</x:v>
      </x:c>
      <x:c r="D18" s="16" t="str">
        <x:v>Exercise</x:v>
      </x:c>
      <x:c r="E18" s="16" t="str">
        <x:v>Tập thể dục tại nhà</x:v>
      </x:c>
      <x:c r="F18" s="16" t="str">
        <x:v>15–20 phút: giãn cơ + bodyweight nhẹ</x:v>
      </x:c>
      <x:c r="G18" s="16" t="str">
        <x:v>Hoàn thành 1 session</x:v>
      </x:c>
      <x:c r="H18" s="16" t="str">
        <x:v>Trung bình</x:v>
      </x:c>
      <x:c r="I18" s="16" t="str">
        <x:v>☐ Chưa làm</x:v>
      </x:c>
      <x:c r="J18" s="16" t="str">
        <x:v>Giữ nguyên</x:v>
      </x:c>
      <x:c r="K18" s="16" t="str">
        <x:f>IF(J18="Dời sang ngày mai",A18+1,"")</x:f>
      </x:c>
      <x:c r="L18" s="16" t="n">
        <x:v>1</x:v>
      </x:c>
      <x:c r="M18" s="16" t="str"/>
    </x:row>
    <x:row r="19">
      <x:c r="A19" s="16" t="n">
        <x:v>46194</x:v>
      </x:c>
      <x:c r="B19" s="16" t="str">
        <x:v>Chủ nhật</x:v>
      </x:c>
      <x:c r="C19" s="16" t="str">
        <x:v>09:00 - 12:00</x:v>
      </x:c>
      <x:c r="D19" s="16" t="str">
        <x:v>SQLD</x:v>
      </x:c>
      <x:c r="E19" s="16" t="str">
        <x:v>SQLD block</x:v>
      </x:c>
      <x:c r="F19" s="16" t="str">
        <x:v>Chọn 1: làm 1 mock / 2 đề / ôn lý thuyết theo lỗi sai</x:v>
      </x:c>
      <x:c r="G19" s="16" t="str">
        <x:v>Điểm mock hoặc error log</x:v>
      </x:c>
      <x:c r="H19" s="16" t="str">
        <x:v>Cao</x:v>
      </x:c>
      <x:c r="I19" s="16" t="str">
        <x:v>☐ Chưa làm</x:v>
      </x:c>
      <x:c r="J19" s="16" t="str">
        <x:v>Giữ nguyên</x:v>
      </x:c>
      <x:c r="K19" s="16" t="str">
        <x:f>IF(J19="Dời sang ngày mai",A19+1,"")</x:f>
      </x:c>
      <x:c r="L19" s="16" t="n">
        <x:v>4</x:v>
      </x:c>
      <x:c r="M19" s="16" t="str"/>
    </x:row>
    <x:row r="20">
      <x:c r="A20" s="16" t="n">
        <x:v>46194</x:v>
      </x:c>
      <x:c r="B20" s="16" t="str">
        <x:v>Chủ nhật</x:v>
      </x:c>
      <x:c r="C20" s="16" t="str">
        <x:v>14:00 - 17:00</x:v>
      </x:c>
      <x:c r="D20" s="16" t="str">
        <x:v>정보처리기사</x:v>
      </x:c>
      <x:c r="E20" s="16" t="str">
        <x:v>정보처리기사 block</x:v>
      </x:c>
      <x:c r="F20" s="16" t="str">
        <x:v>Chọn 1: làm 1 mock / 2 đề 기출 / ôn lý thuyết trọng điểm</x:v>
      </x:c>
      <x:c r="G20" s="16" t="str">
        <x:v>Điểm đề hoặc keyword log</x:v>
      </x:c>
      <x:c r="H20" s="16" t="str">
        <x:v>Cao</x:v>
      </x:c>
      <x:c r="I20" s="16" t="str">
        <x:v>☐ Chưa làm</x:v>
      </x:c>
      <x:c r="J20" s="16" t="str">
        <x:v>Giữ nguyên</x:v>
      </x:c>
      <x:c r="K20" s="16" t="str">
        <x:f>IF(J20="Dời sang ngày mai",A20+1,"")</x:f>
      </x:c>
      <x:c r="L20" s="16" t="n">
        <x:v>4</x:v>
      </x:c>
      <x:c r="M20" s="16" t="str"/>
    </x:row>
    <x:row r="21">
      <x:c r="A21" s="16" t="n">
        <x:v>46194</x:v>
      </x:c>
      <x:c r="B21" s="16" t="str">
        <x:v>Chủ nhật</x:v>
      </x:c>
      <x:c r="C21" s="16" t="str">
        <x:v>19:00 - 20:00</x:v>
      </x:c>
      <x:c r="D21" s="16" t="str">
        <x:v>IELTS</x:v>
      </x:c>
      <x:c r="E21" s="16" t="str">
        <x:v>IELTS Speaking</x:v>
      </x:c>
      <x:c r="F21" s="16" t="str">
        <x:v>Từ mới + 1 speaking task: ghi âm/answer set/correction</x:v>
      </x:c>
      <x:c r="G21" s="16" t="str">
        <x:v>1 recording hoặc correction</x:v>
      </x:c>
      <x:c r="H21" s="16" t="str">
        <x:v>Trung bình</x:v>
      </x:c>
      <x:c r="I21" s="16" t="str">
        <x:v>☐ Chưa làm</x:v>
      </x:c>
      <x:c r="J21" s="16" t="str">
        <x:v>Giữ nguyên</x:v>
      </x:c>
      <x:c r="K21" s="16" t="str">
        <x:f>IF(J21="Dời sang ngày mai",A21+1,"")</x:f>
      </x:c>
      <x:c r="L21" s="16" t="n">
        <x:v>2</x:v>
      </x:c>
      <x:c r="M21" s="16" t="str"/>
    </x:row>
    <x:row r="22">
      <x:c r="A22" s="16" t="n">
        <x:v>46194</x:v>
      </x:c>
      <x:c r="B22" s="16" t="str">
        <x:v>Chủ nhật</x:v>
      </x:c>
      <x:c r="C22" s="16" t="str">
        <x:v>20:00 - 21:00</x:v>
      </x:c>
      <x:c r="D22" s="16" t="str">
        <x:v>IELTS</x:v>
      </x:c>
      <x:c r="E22" s="16" t="str">
        <x:v>IELTS Writing</x:v>
      </x:c>
      <x:c r="F22" s="16" t="str">
        <x:v>Grammar in Use + 1 writing task nhỏ; nếu xong EGIU thì học 2–3 kỹ năng/ngày</x:v>
      </x:c>
      <x:c r="G22" s="16" t="str">
        <x:v>Outline/bài viết/lỗi sai</x:v>
      </x:c>
      <x:c r="H22" s="16" t="str">
        <x:v>Trung bình</x:v>
      </x:c>
      <x:c r="I22" s="16" t="str">
        <x:v>☐ Chưa làm</x:v>
      </x:c>
      <x:c r="J22" s="16" t="str">
        <x:v>Giữ nguyên</x:v>
      </x:c>
      <x:c r="K22" s="16" t="str">
        <x:f>IF(J22="Dời sang ngày mai",A22+1,"")</x:f>
      </x:c>
      <x:c r="L22" s="16" t="n">
        <x:v>2</x:v>
      </x:c>
      <x:c r="M22" s="16" t="str"/>
    </x:row>
    <x:row r="23">
      <x:c r="A23" s="16" t="n">
        <x:v>46194</x:v>
      </x:c>
      <x:c r="B23" s="16" t="str">
        <x:v>Chủ nhật</x:v>
      </x:c>
      <x:c r="C23" s="16" t="str">
        <x:v>21:00 - 22:30</x:v>
      </x:c>
      <x:c r="D23" s="16" t="str">
        <x:v>Korean</x:v>
      </x:c>
      <x:c r="E23" s="16" t="str">
        <x:v>Korean Deep Study</x:v>
      </x:c>
      <x:c r="F23" s="16" t="str">
        <x:v>5 từ mới + 1 task: đọc báo/KBS/shadowing/tóm tắt/ghi âm</x:v>
      </x:c>
      <x:c r="G23" s="16" t="str">
        <x:v>Tóm tắt hoặc recording</x:v>
      </x:c>
      <x:c r="H23" s="16" t="str">
        <x:v>Trung bình</x:v>
      </x:c>
      <x:c r="I23" s="16" t="str">
        <x:v>☐ Chưa làm</x:v>
      </x:c>
      <x:c r="J23" s="16" t="str">
        <x:v>Giữ nguyên</x:v>
      </x:c>
      <x:c r="K23" s="16" t="str">
        <x:f>IF(J23="Dời sang ngày mai",A23+1,"")</x:f>
      </x:c>
      <x:c r="L23" s="16" t="n">
        <x:v>2</x:v>
      </x:c>
      <x:c r="M23" s="16" t="str"/>
    </x:row>
    <x:row r="24">
      <x:c r="A24" s="16" t="n">
        <x:v>46194</x:v>
      </x:c>
      <x:c r="B24" s="16" t="str">
        <x:v>Chủ nhật</x:v>
      </x:c>
      <x:c r="C24" s="16" t="str">
        <x:v>Dòng phụ</x:v>
      </x:c>
      <x:c r="D24" s="16" t="str">
        <x:v>Task phụ</x:v>
      </x:c>
      <x:c r="E24" s="16" t="str">
        <x:v>Chọn task phụ</x:v>
      </x:c>
      <x:c r="F24" s="16" t="str">
        <x:v>Chọn từ dropdown: task chi tiết hiện có + chứng chỉ/skill phụ</x:v>
      </x:c>
      <x:c r="G24" s="16" t="str">
        <x:v>Tính thành tích riêng</x:v>
      </x:c>
      <x:c r="H24" s="16" t="str">
        <x:v>Thấp</x:v>
      </x:c>
      <x:c r="I24" s="16" t="str">
        <x:v>☐ Chưa làm</x:v>
      </x:c>
      <x:c r="J24" s="16" t="str">
        <x:v>Giữ nguyên</x:v>
      </x:c>
      <x:c r="K24" s="16" t="str">
        <x:f>IF(J24="Dời sang ngày mai",A24+1,"")</x:f>
      </x:c>
      <x:c r="L24" s="16" t="n">
        <x:v>1</x:v>
      </x:c>
      <x:c r="M24" s="16" t="str"/>
    </x:row>
    <x:row r="25">
      <x:c r="A25" s="16" t="n">
        <x:v>46195</x:v>
      </x:c>
      <x:c r="B25" s="16" t="str">
        <x:v>Thứ 2</x:v>
      </x:c>
      <x:c r="C25" s="16" t="str">
        <x:v>20:35 - 20:55</x:v>
      </x:c>
      <x:c r="D25" s="16" t="str">
        <x:v>Exercise</x:v>
      </x:c>
      <x:c r="E25" s="16" t="str">
        <x:v>Tập thể dục tại nhà</x:v>
      </x:c>
      <x:c r="F25" s="16" t="str">
        <x:v>15–20 phút: mobility/bodyweight nhẹ, không tập quá nặng trước giờ học</x:v>
      </x:c>
      <x:c r="G25" s="16" t="str">
        <x:v>Hoàn thành 1 session</x:v>
      </x:c>
      <x:c r="H25" s="16" t="str">
        <x:v>Trung bình</x:v>
      </x:c>
      <x:c r="I25" s="16" t="str">
        <x:v>☐ Chưa làm</x:v>
      </x:c>
      <x:c r="J25" s="16" t="str">
        <x:v>Giữ nguyên</x:v>
      </x:c>
      <x:c r="K25" s="16" t="str">
        <x:f>IF(J25="Dời sang ngày mai",A25+1,"")</x:f>
      </x:c>
      <x:c r="L25" s="16" t="n">
        <x:v>1</x:v>
      </x:c>
      <x:c r="M25" s="16" t="str"/>
    </x:row>
    <x:row r="26">
      <x:c r="A26" s="16" t="n">
        <x:v>46195</x:v>
      </x:c>
      <x:c r="B26" s="16" t="str">
        <x:v>Thứ 2</x:v>
      </x:c>
      <x:c r="C26" s="16" t="str">
        <x:v>21:00 - 22:30</x:v>
      </x:c>
      <x:c r="D26" s="16" t="str">
        <x:v>SQLD</x:v>
      </x:c>
      <x:c r="E26" s="16" t="str">
        <x:v>SQLD luyện tập</x:v>
      </x:c>
      <x:c r="F26" s="16" t="str">
        <x:v>Chọn 1: làm 1 mock mini / 2 đề nhỏ / ôn lý thuyết môn 2</x:v>
      </x:c>
      <x:c r="G26" s="16" t="str">
        <x:v>Có điểm hoặc error log</x:v>
      </x:c>
      <x:c r="H26" s="16" t="str">
        <x:v>Cao</x:v>
      </x:c>
      <x:c r="I26" s="16" t="str">
        <x:v>☐ Chưa làm</x:v>
      </x:c>
      <x:c r="J26" s="16" t="str">
        <x:v>Giữ nguyên</x:v>
      </x:c>
      <x:c r="K26" s="16" t="str">
        <x:f>IF(J26="Dời sang ngày mai",A26+1,"")</x:f>
      </x:c>
      <x:c r="L26" s="16" t="n">
        <x:v>3</x:v>
      </x:c>
      <x:c r="M26" s="16" t="str"/>
    </x:row>
    <x:row r="27">
      <x:c r="A27" s="16" t="n">
        <x:v>46195</x:v>
      </x:c>
      <x:c r="B27" s="16" t="str">
        <x:v>Thứ 2</x:v>
      </x:c>
      <x:c r="C27" s="16" t="str">
        <x:v>22:30 - 23:30</x:v>
      </x:c>
      <x:c r="D27" s="16" t="str">
        <x:v>정보처리기사</x:v>
      </x:c>
      <x:c r="E27" s="16" t="str">
        <x:v>정보처리기사 luyện tập</x:v>
      </x:c>
      <x:c r="F27" s="16" t="str">
        <x:v>Chọn 1: làm 1 bộ 기출 mini / ôn lý thuyết / chữa câu sai</x:v>
      </x:c>
      <x:c r="G27" s="16" t="str">
        <x:v>Có list câu sai/keyword</x:v>
      </x:c>
      <x:c r="H27" s="16" t="str">
        <x:v>Cao</x:v>
      </x:c>
      <x:c r="I27" s="16" t="str">
        <x:v>☐ Chưa làm</x:v>
      </x:c>
      <x:c r="J27" s="16" t="str">
        <x:v>Giữ nguyên</x:v>
      </x:c>
      <x:c r="K27" s="16" t="str">
        <x:f>IF(J27="Dời sang ngày mai",A27+1,"")</x:f>
      </x:c>
      <x:c r="L27" s="16" t="n">
        <x:v>3</x:v>
      </x:c>
      <x:c r="M27" s="16" t="str"/>
    </x:row>
    <x:row r="28">
      <x:c r="A28" s="16" t="n">
        <x:v>46195</x:v>
      </x:c>
      <x:c r="B28" s="16" t="str">
        <x:v>Thứ 2</x:v>
      </x:c>
      <x:c r="C28" s="16" t="str">
        <x:v>23:30 - 00:00</x:v>
      </x:c>
      <x:c r="D28" s="16" t="str">
        <x:v>English</x:v>
      </x:c>
      <x:c r="E28" s="16" t="str">
        <x:v>English daily</x:v>
      </x:c>
      <x:c r="F28" s="16" t="str">
        <x:v>10 từ mới + English Grammar in Use 1 phần nhỏ; nếu xong EGIU thì đổi sang 2–3 kỹ năng IELTS/ngày</x:v>
      </x:c>
      <x:c r="G28" s="16" t="str">
        <x:v>Anki + grammar note</x:v>
      </x:c>
      <x:c r="H28" s="16" t="str">
        <x:v>Trung bình</x:v>
      </x:c>
      <x:c r="I28" s="16" t="str">
        <x:v>☐ Chưa làm</x:v>
      </x:c>
      <x:c r="J28" s="16" t="str">
        <x:v>Giữ nguyên</x:v>
      </x:c>
      <x:c r="K28" s="16" t="str">
        <x:f>IF(J28="Dời sang ngày mai",A28+1,"")</x:f>
      </x:c>
      <x:c r="L28" s="16" t="n">
        <x:v>1</x:v>
      </x:c>
      <x:c r="M28" s="16" t="str"/>
    </x:row>
    <x:row r="29">
      <x:c r="A29" s="16" t="n">
        <x:v>46195</x:v>
      </x:c>
      <x:c r="B29" s="16" t="str">
        <x:v>Thứ 2</x:v>
      </x:c>
      <x:c r="C29" s="16" t="str">
        <x:v>Dòng phụ</x:v>
      </x:c>
      <x:c r="D29" s="16" t="str">
        <x:v>Task phụ</x:v>
      </x:c>
      <x:c r="E29" s="16" t="str">
        <x:v>Chọn task phụ</x:v>
      </x:c>
      <x:c r="F29" s="16" t="str">
        <x:v>Chọn từ dropdown: task chi tiết hiện có + chứng chỉ/skill phụ</x:v>
      </x:c>
      <x:c r="G29" s="16" t="str">
        <x:v>Tính thành tích riêng</x:v>
      </x:c>
      <x:c r="H29" s="16" t="str">
        <x:v>Thấp</x:v>
      </x:c>
      <x:c r="I29" s="16" t="str">
        <x:v>☐ Chưa làm</x:v>
      </x:c>
      <x:c r="J29" s="16" t="str">
        <x:v>Giữ nguyên</x:v>
      </x:c>
      <x:c r="K29" s="16" t="str">
        <x:f>IF(J29="Dời sang ngày mai",A29+1,"")</x:f>
      </x:c>
      <x:c r="L29" s="16" t="n">
        <x:v>1</x:v>
      </x:c>
      <x:c r="M29" s="16" t="str"/>
    </x:row>
    <x:row r="30">
      <x:c r="A30" s="16" t="n">
        <x:v>46196</x:v>
      </x:c>
      <x:c r="B30" s="16" t="str">
        <x:v>Thứ 3</x:v>
      </x:c>
      <x:c r="C30" s="16" t="str">
        <x:v>20:35 - 20:55</x:v>
      </x:c>
      <x:c r="D30" s="16" t="str">
        <x:v>Exercise</x:v>
      </x:c>
      <x:c r="E30" s="16" t="str">
        <x:v>Tập thể dục tại nhà</x:v>
      </x:c>
      <x:c r="F30" s="16" t="str">
        <x:v>15–20 phút: mobility/bodyweight nhẹ, không tập quá nặng trước giờ học</x:v>
      </x:c>
      <x:c r="G30" s="16" t="str">
        <x:v>Hoàn thành 1 session</x:v>
      </x:c>
      <x:c r="H30" s="16" t="str">
        <x:v>Trung bình</x:v>
      </x:c>
      <x:c r="I30" s="16" t="str">
        <x:v>☐ Chưa làm</x:v>
      </x:c>
      <x:c r="J30" s="16" t="str">
        <x:v>Giữ nguyên</x:v>
      </x:c>
      <x:c r="K30" s="16" t="str">
        <x:f>IF(J30="Dời sang ngày mai",A30+1,"")</x:f>
      </x:c>
      <x:c r="L30" s="16" t="n">
        <x:v>1</x:v>
      </x:c>
      <x:c r="M30" s="16" t="str"/>
    </x:row>
    <x:row r="31">
      <x:c r="A31" s="16" t="n">
        <x:v>46196</x:v>
      </x:c>
      <x:c r="B31" s="16" t="str">
        <x:v>Thứ 3</x:v>
      </x:c>
      <x:c r="C31" s="16" t="str">
        <x:v>21:00 - 22:15</x:v>
      </x:c>
      <x:c r="D31" s="16" t="str">
        <x:v>IELTS</x:v>
      </x:c>
      <x:c r="E31" s="16" t="str">
        <x:v>IELTS Homework + Review</x:v>
      </x:c>
      <x:c r="F31" s="16" t="str">
        <x:v>Từ mới + English Grammar in Use + 1 IELTS skill hoặc vài unit Cambridge</x:v>
      </x:c>
      <x:c r="G31" s="16" t="str">
        <x:v>Homework + lỗi sai</x:v>
      </x:c>
      <x:c r="H31" s="16" t="str">
        <x:v>Trung bình</x:v>
      </x:c>
      <x:c r="I31" s="16" t="str">
        <x:v>☐ Chưa làm</x:v>
      </x:c>
      <x:c r="J31" s="16" t="str">
        <x:v>Giữ nguyên</x:v>
      </x:c>
      <x:c r="K31" s="16" t="str">
        <x:f>IF(J31="Dời sang ngày mai",A31+1,"")</x:f>
      </x:c>
      <x:c r="L31" s="16" t="n">
        <x:v>2</x:v>
      </x:c>
      <x:c r="M31" s="16" t="str"/>
    </x:row>
    <x:row r="32">
      <x:c r="A32" s="16" t="n">
        <x:v>46196</x:v>
      </x:c>
      <x:c r="B32" s="16" t="str">
        <x:v>Thứ 3</x:v>
      </x:c>
      <x:c r="C32" s="16" t="str">
        <x:v>22:30 - 00:00</x:v>
      </x:c>
      <x:c r="D32" s="16" t="str">
        <x:v>IELTS</x:v>
      </x:c>
      <x:c r="E32" s="16" t="str">
        <x:v>IELTS Class</x:v>
      </x:c>
      <x:c r="F32" s="16" t="str">
        <x:v>Đi học lớp; sau lớp chỉ ghi từ mới/homework, không học thêm</x:v>
      </x:c>
      <x:c r="G32" s="16" t="str">
        <x:v>Note homework + vocab</x:v>
      </x:c>
      <x:c r="H32" s="16" t="str">
        <x:v>Cao</x:v>
      </x:c>
      <x:c r="I32" s="16" t="str">
        <x:v>☐ Chưa làm</x:v>
      </x:c>
      <x:c r="J32" s="16" t="str">
        <x:v>Giữ nguyên</x:v>
      </x:c>
      <x:c r="K32" s="16" t="str">
        <x:f>IF(J32="Dời sang ngày mai",A32+1,"")</x:f>
      </x:c>
      <x:c r="L32" s="16" t="n">
        <x:v>2</x:v>
      </x:c>
      <x:c r="M32" s="16" t="str"/>
    </x:row>
    <x:row r="33">
      <x:c r="A33" s="16" t="n">
        <x:v>46196</x:v>
      </x:c>
      <x:c r="B33" s="16" t="str">
        <x:v>Thứ 3</x:v>
      </x:c>
      <x:c r="C33" s="16" t="str">
        <x:v>Dòng phụ</x:v>
      </x:c>
      <x:c r="D33" s="16" t="str">
        <x:v>Task phụ</x:v>
      </x:c>
      <x:c r="E33" s="16" t="str">
        <x:v>Chọn task phụ</x:v>
      </x:c>
      <x:c r="F33" s="16" t="str">
        <x:v>Chọn từ dropdown: task chi tiết hiện có + chứng chỉ/skill phụ</x:v>
      </x:c>
      <x:c r="G33" s="16" t="str">
        <x:v>Tính thành tích riêng</x:v>
      </x:c>
      <x:c r="H33" s="16" t="str">
        <x:v>Thấp</x:v>
      </x:c>
      <x:c r="I33" s="16" t="str">
        <x:v>☐ Chưa làm</x:v>
      </x:c>
      <x:c r="J33" s="16" t="str">
        <x:v>Giữ nguyên</x:v>
      </x:c>
      <x:c r="K33" s="16" t="str">
        <x:f>IF(J33="Dời sang ngày mai",A33+1,"")</x:f>
      </x:c>
      <x:c r="L33" s="16" t="n">
        <x:v>1</x:v>
      </x:c>
      <x:c r="M33" s="16" t="str"/>
    </x:row>
    <x:row r="34">
      <x:c r="A34" s="16" t="n">
        <x:v>46197</x:v>
      </x:c>
      <x:c r="B34" s="16" t="str">
        <x:v>Thứ 4</x:v>
      </x:c>
      <x:c r="C34" s="16" t="str">
        <x:v>20:35 - 20:55</x:v>
      </x:c>
      <x:c r="D34" s="16" t="str">
        <x:v>Exercise</x:v>
      </x:c>
      <x:c r="E34" s="16" t="str">
        <x:v>Tập thể dục tại nhà</x:v>
      </x:c>
      <x:c r="F34" s="16" t="str">
        <x:v>15–20 phút: mobility/bodyweight nhẹ, không tập quá nặng trước giờ học</x:v>
      </x:c>
      <x:c r="G34" s="16" t="str">
        <x:v>Hoàn thành 1 session</x:v>
      </x:c>
      <x:c r="H34" s="16" t="str">
        <x:v>Trung bình</x:v>
      </x:c>
      <x:c r="I34" s="16" t="str">
        <x:v>☐ Chưa làm</x:v>
      </x:c>
      <x:c r="J34" s="16" t="str">
        <x:v>Giữ nguyên</x:v>
      </x:c>
      <x:c r="K34" s="16" t="str">
        <x:f>IF(J34="Dời sang ngày mai",A34+1,"")</x:f>
      </x:c>
      <x:c r="L34" s="16" t="n">
        <x:v>1</x:v>
      </x:c>
      <x:c r="M34" s="16" t="str"/>
    </x:row>
    <x:row r="35">
      <x:c r="A35" s="16" t="n">
        <x:v>46197</x:v>
      </x:c>
      <x:c r="B35" s="16" t="str">
        <x:v>Thứ 4</x:v>
      </x:c>
      <x:c r="C35" s="16" t="str">
        <x:v>21:00 - 22:30</x:v>
      </x:c>
      <x:c r="D35" s="16" t="str">
        <x:v>SQLD</x:v>
      </x:c>
      <x:c r="E35" s="16" t="str">
        <x:v>SQLD luyện tập</x:v>
      </x:c>
      <x:c r="F35" s="16" t="str">
        <x:v>Chọn 1: làm 1 mock mini / 2 đề nhỏ / ôn lý thuyết môn 2</x:v>
      </x:c>
      <x:c r="G35" s="16" t="str">
        <x:v>Có điểm hoặc error log</x:v>
      </x:c>
      <x:c r="H35" s="16" t="str">
        <x:v>Cao</x:v>
      </x:c>
      <x:c r="I35" s="16" t="str">
        <x:v>☐ Chưa làm</x:v>
      </x:c>
      <x:c r="J35" s="16" t="str">
        <x:v>Giữ nguyên</x:v>
      </x:c>
      <x:c r="K35" s="16" t="str">
        <x:f>IF(J35="Dời sang ngày mai",A35+1,"")</x:f>
      </x:c>
      <x:c r="L35" s="16" t="n">
        <x:v>3</x:v>
      </x:c>
      <x:c r="M35" s="16" t="str"/>
    </x:row>
    <x:row r="36">
      <x:c r="A36" s="16" t="n">
        <x:v>46197</x:v>
      </x:c>
      <x:c r="B36" s="16" t="str">
        <x:v>Thứ 4</x:v>
      </x:c>
      <x:c r="C36" s="16" t="str">
        <x:v>22:30 - 23:30</x:v>
      </x:c>
      <x:c r="D36" s="16" t="str">
        <x:v>정보처리기사</x:v>
      </x:c>
      <x:c r="E36" s="16" t="str">
        <x:v>정보처리기사 luyện tập</x:v>
      </x:c>
      <x:c r="F36" s="16" t="str">
        <x:v>Chọn 1: làm 1 bộ 기출 mini / ôn lý thuyết / chữa câu sai</x:v>
      </x:c>
      <x:c r="G36" s="16" t="str">
        <x:v>Có list câu sai/keyword</x:v>
      </x:c>
      <x:c r="H36" s="16" t="str">
        <x:v>Cao</x:v>
      </x:c>
      <x:c r="I36" s="16" t="str">
        <x:v>☐ Chưa làm</x:v>
      </x:c>
      <x:c r="J36" s="16" t="str">
        <x:v>Giữ nguyên</x:v>
      </x:c>
      <x:c r="K36" s="16" t="str">
        <x:f>IF(J36="Dời sang ngày mai",A36+1,"")</x:f>
      </x:c>
      <x:c r="L36" s="16" t="n">
        <x:v>3</x:v>
      </x:c>
      <x:c r="M36" s="16" t="str"/>
    </x:row>
    <x:row r="37">
      <x:c r="A37" s="16" t="n">
        <x:v>46197</x:v>
      </x:c>
      <x:c r="B37" s="16" t="str">
        <x:v>Thứ 4</x:v>
      </x:c>
      <x:c r="C37" s="16" t="str">
        <x:v>23:30 - 00:00</x:v>
      </x:c>
      <x:c r="D37" s="16" t="str">
        <x:v>Korean</x:v>
      </x:c>
      <x:c r="E37" s="16" t="str">
        <x:v>Korean daily</x:v>
      </x:c>
      <x:c r="F37" s="16" t="str">
        <x:v>5 từ mới + 1 task nhỏ: đọc báo/shadowing/ghi âm/tóm tắt</x:v>
      </x:c>
      <x:c r="G37" s="16" t="str">
        <x:v>5 từ + 1 output nhỏ</x:v>
      </x:c>
      <x:c r="H37" s="16" t="str">
        <x:v>Trung bình</x:v>
      </x:c>
      <x:c r="I37" s="16" t="str">
        <x:v>☐ Chưa làm</x:v>
      </x:c>
      <x:c r="J37" s="16" t="str">
        <x:v>Giữ nguyên</x:v>
      </x:c>
      <x:c r="K37" s="16" t="str">
        <x:f>IF(J37="Dời sang ngày mai",A37+1,"")</x:f>
      </x:c>
      <x:c r="L37" s="16" t="n">
        <x:v>1</x:v>
      </x:c>
      <x:c r="M37" s="16" t="str"/>
    </x:row>
    <x:row r="38">
      <x:c r="A38" s="16" t="n">
        <x:v>46197</x:v>
      </x:c>
      <x:c r="B38" s="16" t="str">
        <x:v>Thứ 4</x:v>
      </x:c>
      <x:c r="C38" s="16" t="str">
        <x:v>Dòng phụ</x:v>
      </x:c>
      <x:c r="D38" s="16" t="str">
        <x:v>Task phụ</x:v>
      </x:c>
      <x:c r="E38" s="16" t="str">
        <x:v>Chọn task phụ</x:v>
      </x:c>
      <x:c r="F38" s="16" t="str">
        <x:v>Chọn từ dropdown: task chi tiết hiện có + chứng chỉ/skill phụ</x:v>
      </x:c>
      <x:c r="G38" s="16" t="str">
        <x:v>Tính thành tích riêng</x:v>
      </x:c>
      <x:c r="H38" s="16" t="str">
        <x:v>Thấp</x:v>
      </x:c>
      <x:c r="I38" s="16" t="str">
        <x:v>☐ Chưa làm</x:v>
      </x:c>
      <x:c r="J38" s="16" t="str">
        <x:v>Giữ nguyên</x:v>
      </x:c>
      <x:c r="K38" s="16" t="str">
        <x:f>IF(J38="Dời sang ngày mai",A38+1,"")</x:f>
      </x:c>
      <x:c r="L38" s="16" t="n">
        <x:v>1</x:v>
      </x:c>
      <x:c r="M38" s="16" t="str"/>
    </x:row>
    <x:row r="39">
      <x:c r="A39" s="16" t="n">
        <x:v>46198</x:v>
      </x:c>
      <x:c r="B39" s="16" t="str">
        <x:v>Thứ 5</x:v>
      </x:c>
      <x:c r="C39" s="16" t="str">
        <x:v>20:35 - 20:55</x:v>
      </x:c>
      <x:c r="D39" s="16" t="str">
        <x:v>Exercise</x:v>
      </x:c>
      <x:c r="E39" s="16" t="str">
        <x:v>Tập thể dục tại nhà</x:v>
      </x:c>
      <x:c r="F39" s="16" t="str">
        <x:v>15–20 phút: mobility/bodyweight nhẹ, không tập quá nặng trước giờ học</x:v>
      </x:c>
      <x:c r="G39" s="16" t="str">
        <x:v>Hoàn thành 1 session</x:v>
      </x:c>
      <x:c r="H39" s="16" t="str">
        <x:v>Trung bình</x:v>
      </x:c>
      <x:c r="I39" s="16" t="str">
        <x:v>☐ Chưa làm</x:v>
      </x:c>
      <x:c r="J39" s="16" t="str">
        <x:v>Giữ nguyên</x:v>
      </x:c>
      <x:c r="K39" s="16" t="str">
        <x:f>IF(J39="Dời sang ngày mai",A39+1,"")</x:f>
      </x:c>
      <x:c r="L39" s="16" t="n">
        <x:v>1</x:v>
      </x:c>
      <x:c r="M39" s="16" t="str"/>
    </x:row>
    <x:row r="40">
      <x:c r="A40" s="16" t="n">
        <x:v>46198</x:v>
      </x:c>
      <x:c r="B40" s="16" t="str">
        <x:v>Thứ 5</x:v>
      </x:c>
      <x:c r="C40" s="16" t="str">
        <x:v>21:00 - 22:30</x:v>
      </x:c>
      <x:c r="D40" s="16" t="str">
        <x:v>SQLD</x:v>
      </x:c>
      <x:c r="E40" s="16" t="str">
        <x:v>SQLD luyện tập</x:v>
      </x:c>
      <x:c r="F40" s="16" t="str">
        <x:v>Chọn 1: làm 1 mock mini / 2 đề nhỏ / ôn lý thuyết môn 2</x:v>
      </x:c>
      <x:c r="G40" s="16" t="str">
        <x:v>Có điểm hoặc error log</x:v>
      </x:c>
      <x:c r="H40" s="16" t="str">
        <x:v>Cao</x:v>
      </x:c>
      <x:c r="I40" s="16" t="str">
        <x:v>☐ Chưa làm</x:v>
      </x:c>
      <x:c r="J40" s="16" t="str">
        <x:v>Giữ nguyên</x:v>
      </x:c>
      <x:c r="K40" s="16" t="str">
        <x:f>IF(J40="Dời sang ngày mai",A40+1,"")</x:f>
      </x:c>
      <x:c r="L40" s="16" t="n">
        <x:v>3</x:v>
      </x:c>
      <x:c r="M40" s="16" t="str"/>
    </x:row>
    <x:row r="41">
      <x:c r="A41" s="16" t="n">
        <x:v>46198</x:v>
      </x:c>
      <x:c r="B41" s="16" t="str">
        <x:v>Thứ 5</x:v>
      </x:c>
      <x:c r="C41" s="16" t="str">
        <x:v>22:30 - 00:00</x:v>
      </x:c>
      <x:c r="D41" s="16" t="str">
        <x:v>Spring Boot</x:v>
      </x:c>
      <x:c r="E41" s="16" t="str">
        <x:v>Spring Boot / React-WebSquare</x:v>
      </x:c>
      <x:c r="F41" s="16" t="str">
        <x:v>Ít thời gian: học lý thuyết + 1 commit. Nhiều thời gian: hoàn thành 1 tính năng</x:v>
      </x:c>
      <x:c r="G41" s="16" t="str">
        <x:v>1 commit hoặc 1 feature</x:v>
      </x:c>
      <x:c r="H41" s="16" t="str">
        <x:v>Trung bình</x:v>
      </x:c>
      <x:c r="I41" s="16" t="str">
        <x:v>☐ Chưa làm</x:v>
      </x:c>
      <x:c r="J41" s="16" t="str">
        <x:v>Giữ nguyên</x:v>
      </x:c>
      <x:c r="K41" s="16" t="str">
        <x:f>IF(J41="Dời sang ngày mai",A41+1,"")</x:f>
      </x:c>
      <x:c r="L41" s="16" t="n">
        <x:v>2</x:v>
      </x:c>
      <x:c r="M41" s="16" t="str"/>
    </x:row>
    <x:row r="42">
      <x:c r="A42" s="16" t="n">
        <x:v>46198</x:v>
      </x:c>
      <x:c r="B42" s="16" t="str">
        <x:v>Thứ 5</x:v>
      </x:c>
      <x:c r="C42" s="16" t="str">
        <x:v>Dòng phụ</x:v>
      </x:c>
      <x:c r="D42" s="16" t="str">
        <x:v>Task phụ</x:v>
      </x:c>
      <x:c r="E42" s="16" t="str">
        <x:v>Chọn task phụ</x:v>
      </x:c>
      <x:c r="F42" s="16" t="str">
        <x:v>Chọn từ dropdown: task chi tiết hiện có + chứng chỉ/skill phụ</x:v>
      </x:c>
      <x:c r="G42" s="16" t="str">
        <x:v>Tính thành tích riêng</x:v>
      </x:c>
      <x:c r="H42" s="16" t="str">
        <x:v>Thấp</x:v>
      </x:c>
      <x:c r="I42" s="16" t="str">
        <x:v>☐ Chưa làm</x:v>
      </x:c>
      <x:c r="J42" s="16" t="str">
        <x:v>Giữ nguyên</x:v>
      </x:c>
      <x:c r="K42" s="16" t="str">
        <x:f>IF(J42="Dời sang ngày mai",A42+1,"")</x:f>
      </x:c>
      <x:c r="L42" s="16" t="n">
        <x:v>1</x:v>
      </x:c>
      <x:c r="M42" s="16" t="str"/>
    </x:row>
    <x:row r="43">
      <x:c r="A43" s="16" t="n">
        <x:v>46199</x:v>
      </x:c>
      <x:c r="B43" s="16" t="str">
        <x:v>Thứ 6</x:v>
      </x:c>
      <x:c r="C43" s="16" t="str">
        <x:v>20:35 - 20:55</x:v>
      </x:c>
      <x:c r="D43" s="16" t="str">
        <x:v>Exercise</x:v>
      </x:c>
      <x:c r="E43" s="16" t="str">
        <x:v>Tập thể dục tại nhà</x:v>
      </x:c>
      <x:c r="F43" s="16" t="str">
        <x:v>15–20 phút: mobility/bodyweight nhẹ, không tập quá nặng trước giờ học</x:v>
      </x:c>
      <x:c r="G43" s="16" t="str">
        <x:v>Hoàn thành 1 session</x:v>
      </x:c>
      <x:c r="H43" s="16" t="str">
        <x:v>Trung bình</x:v>
      </x:c>
      <x:c r="I43" s="16" t="str">
        <x:v>☐ Chưa làm</x:v>
      </x:c>
      <x:c r="J43" s="16" t="str">
        <x:v>Giữ nguyên</x:v>
      </x:c>
      <x:c r="K43" s="16" t="str">
        <x:f>IF(J43="Dời sang ngày mai",A43+1,"")</x:f>
      </x:c>
      <x:c r="L43" s="16" t="n">
        <x:v>1</x:v>
      </x:c>
      <x:c r="M43" s="16" t="str"/>
    </x:row>
    <x:row r="44">
      <x:c r="A44" s="16" t="n">
        <x:v>46199</x:v>
      </x:c>
      <x:c r="B44" s="16" t="str">
        <x:v>Thứ 6</x:v>
      </x:c>
      <x:c r="C44" s="16" t="str">
        <x:v>21:00 - 22:15</x:v>
      </x:c>
      <x:c r="D44" s="16" t="str">
        <x:v>IELTS</x:v>
      </x:c>
      <x:c r="E44" s="16" t="str">
        <x:v>IELTS Homework + Review</x:v>
      </x:c>
      <x:c r="F44" s="16" t="str">
        <x:v>Từ mới + English Grammar in Use + 1 IELTS skill hoặc vài unit Cambridge</x:v>
      </x:c>
      <x:c r="G44" s="16" t="str">
        <x:v>Homework + lỗi sai</x:v>
      </x:c>
      <x:c r="H44" s="16" t="str">
        <x:v>Trung bình</x:v>
      </x:c>
      <x:c r="I44" s="16" t="str">
        <x:v>☐ Chưa làm</x:v>
      </x:c>
      <x:c r="J44" s="16" t="str">
        <x:v>Giữ nguyên</x:v>
      </x:c>
      <x:c r="K44" s="16" t="str">
        <x:f>IF(J44="Dời sang ngày mai",A44+1,"")</x:f>
      </x:c>
      <x:c r="L44" s="16" t="n">
        <x:v>2</x:v>
      </x:c>
      <x:c r="M44" s="16" t="str"/>
    </x:row>
    <x:row r="45">
      <x:c r="A45" s="16" t="n">
        <x:v>46199</x:v>
      </x:c>
      <x:c r="B45" s="16" t="str">
        <x:v>Thứ 6</x:v>
      </x:c>
      <x:c r="C45" s="16" t="str">
        <x:v>22:30 - 00:00</x:v>
      </x:c>
      <x:c r="D45" s="16" t="str">
        <x:v>IELTS</x:v>
      </x:c>
      <x:c r="E45" s="16" t="str">
        <x:v>IELTS Class</x:v>
      </x:c>
      <x:c r="F45" s="16" t="str">
        <x:v>Đi học lớp; sau lớp chỉ ghi từ mới/homework, không học thêm</x:v>
      </x:c>
      <x:c r="G45" s="16" t="str">
        <x:v>Note homework + vocab</x:v>
      </x:c>
      <x:c r="H45" s="16" t="str">
        <x:v>Cao</x:v>
      </x:c>
      <x:c r="I45" s="16" t="str">
        <x:v>☐ Chưa làm</x:v>
      </x:c>
      <x:c r="J45" s="16" t="str">
        <x:v>Giữ nguyên</x:v>
      </x:c>
      <x:c r="K45" s="16" t="str">
        <x:f>IF(J45="Dời sang ngày mai",A45+1,"")</x:f>
      </x:c>
      <x:c r="L45" s="16" t="n">
        <x:v>2</x:v>
      </x:c>
      <x:c r="M45" s="16" t="str"/>
    </x:row>
    <x:row r="46">
      <x:c r="A46" s="16" t="n">
        <x:v>46199</x:v>
      </x:c>
      <x:c r="B46" s="16" t="str">
        <x:v>Thứ 6</x:v>
      </x:c>
      <x:c r="C46" s="16" t="str">
        <x:v>Dòng phụ</x:v>
      </x:c>
      <x:c r="D46" s="16" t="str">
        <x:v>Task phụ</x:v>
      </x:c>
      <x:c r="E46" s="16" t="str">
        <x:v>Chọn task phụ</x:v>
      </x:c>
      <x:c r="F46" s="16" t="str">
        <x:v>Chọn từ dropdown: task chi tiết hiện có + chứng chỉ/skill phụ</x:v>
      </x:c>
      <x:c r="G46" s="16" t="str">
        <x:v>Tính thành tích riêng</x:v>
      </x:c>
      <x:c r="H46" s="16" t="str">
        <x:v>Thấp</x:v>
      </x:c>
      <x:c r="I46" s="16" t="str">
        <x:v>☐ Chưa làm</x:v>
      </x:c>
      <x:c r="J46" s="16" t="str">
        <x:v>Giữ nguyên</x:v>
      </x:c>
      <x:c r="K46" s="16" t="str">
        <x:f>IF(J46="Dời sang ngày mai",A46+1,"")</x:f>
      </x:c>
      <x:c r="L46" s="16" t="n">
        <x:v>1</x:v>
      </x:c>
      <x:c r="M46" s="16" t="str"/>
    </x:row>
    <x:row r="47">
      <x:c r="A47" s="16" t="n">
        <x:v>46200</x:v>
      </x:c>
      <x:c r="B47" s="16" t="str">
        <x:v>Thứ 7</x:v>
      </x:c>
      <x:c r="C47" s="16" t="str">
        <x:v>08:30 - 08:50</x:v>
      </x:c>
      <x:c r="D47" s="16" t="str">
        <x:v>Exercise</x:v>
      </x:c>
      <x:c r="E47" s="16" t="str">
        <x:v>Tập thể dục tại nhà</x:v>
      </x:c>
      <x:c r="F47" s="16" t="str">
        <x:v>15–20 phút: giãn cơ + bodyweight nhẹ</x:v>
      </x:c>
      <x:c r="G47" s="16" t="str">
        <x:v>Hoàn thành 1 session</x:v>
      </x:c>
      <x:c r="H47" s="16" t="str">
        <x:v>Trung bình</x:v>
      </x:c>
      <x:c r="I47" s="16" t="str">
        <x:v>☐ Chưa làm</x:v>
      </x:c>
      <x:c r="J47" s="16" t="str">
        <x:v>Giữ nguyên</x:v>
      </x:c>
      <x:c r="K47" s="16" t="str">
        <x:f>IF(J47="Dời sang ngày mai",A47+1,"")</x:f>
      </x:c>
      <x:c r="L47" s="16" t="n">
        <x:v>1</x:v>
      </x:c>
      <x:c r="M47" s="16" t="str"/>
    </x:row>
    <x:row r="48">
      <x:c r="A48" s="16" t="n">
        <x:v>46200</x:v>
      </x:c>
      <x:c r="B48" s="16" t="str">
        <x:v>Thứ 7</x:v>
      </x:c>
      <x:c r="C48" s="16" t="str">
        <x:v>13:00 - 14:30</x:v>
      </x:c>
      <x:c r="D48" s="16" t="str">
        <x:v>Swimming</x:v>
      </x:c>
      <x:c r="E48" s="16" t="str">
        <x:v>Bơi cuối tuần</x:v>
      </x:c>
      <x:c r="F48" s="16" t="str">
        <x:v>Bể mở 13:00–15:00; bơi 1–1.5h, không cần ép đủ 2h</x:v>
      </x:c>
      <x:c r="G48" s="16" t="str">
        <x:v>Bơi + tắm nghỉ xong trước 15:00</x:v>
      </x:c>
      <x:c r="H48" s="16" t="str">
        <x:v>Trung bình</x:v>
      </x:c>
      <x:c r="I48" s="16" t="str">
        <x:v>☐ Chưa làm</x:v>
      </x:c>
      <x:c r="J48" s="16" t="str">
        <x:v>Giữ nguyên</x:v>
      </x:c>
      <x:c r="K48" s="16" t="str">
        <x:f>IF(J48="Dời sang ngày mai",A48+1,"")</x:f>
      </x:c>
      <x:c r="L48" s="16" t="n">
        <x:v>2</x:v>
      </x:c>
      <x:c r="M48" s="16" t="str"/>
    </x:row>
    <x:row r="49">
      <x:c r="A49" s="16" t="n">
        <x:v>46200</x:v>
      </x:c>
      <x:c r="B49" s="16" t="str">
        <x:v>Thứ 7</x:v>
      </x:c>
      <x:c r="C49" s="16" t="str">
        <x:v>09:00 - 12:00</x:v>
      </x:c>
      <x:c r="D49" s="16" t="str">
        <x:v>SQLD</x:v>
      </x:c>
      <x:c r="E49" s="16" t="str">
        <x:v>SQLD block</x:v>
      </x:c>
      <x:c r="F49" s="16" t="str">
        <x:v>Chọn 1: làm 1 mock / 2 đề / ôn lý thuyết theo lỗi sai</x:v>
      </x:c>
      <x:c r="G49" s="16" t="str">
        <x:v>Điểm mock hoặc error log</x:v>
      </x:c>
      <x:c r="H49" s="16" t="str">
        <x:v>Cao</x:v>
      </x:c>
      <x:c r="I49" s="16" t="str">
        <x:v>☐ Chưa làm</x:v>
      </x:c>
      <x:c r="J49" s="16" t="str">
        <x:v>Giữ nguyên</x:v>
      </x:c>
      <x:c r="K49" s="16" t="str">
        <x:f>IF(J49="Dời sang ngày mai",A49+1,"")</x:f>
      </x:c>
      <x:c r="L49" s="16" t="n">
        <x:v>4</x:v>
      </x:c>
      <x:c r="M49" s="16" t="str"/>
    </x:row>
    <x:row r="50">
      <x:c r="A50" s="16" t="n">
        <x:v>46200</x:v>
      </x:c>
      <x:c r="B50" s="16" t="str">
        <x:v>Thứ 7</x:v>
      </x:c>
      <x:c r="C50" s="16" t="str">
        <x:v>15:00 - 18:00</x:v>
      </x:c>
      <x:c r="D50" s="16" t="str">
        <x:v>정보처리기사</x:v>
      </x:c>
      <x:c r="E50" s="16" t="str">
        <x:v>정보처리기사 block</x:v>
      </x:c>
      <x:c r="F50" s="16" t="str">
        <x:v>Chọn 1: làm 1 mock / 2 đề 기출 / ôn lý thuyết trọng điểm</x:v>
      </x:c>
      <x:c r="G50" s="16" t="str">
        <x:v>Điểm đề hoặc keyword log</x:v>
      </x:c>
      <x:c r="H50" s="16" t="str">
        <x:v>Cao</x:v>
      </x:c>
      <x:c r="I50" s="16" t="str">
        <x:v>☐ Chưa làm</x:v>
      </x:c>
      <x:c r="J50" s="16" t="str">
        <x:v>Giữ nguyên</x:v>
      </x:c>
      <x:c r="K50" s="16" t="str">
        <x:f>IF(J50="Dời sang ngày mai",A50+1,"")</x:f>
      </x:c>
      <x:c r="L50" s="16" t="n">
        <x:v>4</x:v>
      </x:c>
      <x:c r="M50" s="16" t="str"/>
    </x:row>
    <x:row r="51">
      <x:c r="A51" s="16" t="n">
        <x:v>46200</x:v>
      </x:c>
      <x:c r="B51" s="16" t="str">
        <x:v>Thứ 7</x:v>
      </x:c>
      <x:c r="C51" s="16" t="str">
        <x:v>19:00 - 21:00</x:v>
      </x:c>
      <x:c r="D51" s="16" t="str">
        <x:v>IELTS</x:v>
      </x:c>
      <x:c r="E51" s="16" t="str">
        <x:v>IELTS Reading/Listening</x:v>
      </x:c>
      <x:c r="F51" s="16" t="str">
        <x:v>Từ mới + English Grammar in Use + 1 skill IELTS hoặc vài unit Cambridge</x:v>
      </x:c>
      <x:c r="G51" s="16" t="str">
        <x:v>1 skill output + vocab</x:v>
      </x:c>
      <x:c r="H51" s="16" t="str">
        <x:v>Trung bình</x:v>
      </x:c>
      <x:c r="I51" s="16" t="str">
        <x:v>☐ Chưa làm</x:v>
      </x:c>
      <x:c r="J51" s="16" t="str">
        <x:v>Giữ nguyên</x:v>
      </x:c>
      <x:c r="K51" s="16" t="str">
        <x:f>IF(J51="Dời sang ngày mai",A51+1,"")</x:f>
      </x:c>
      <x:c r="L51" s="16" t="n">
        <x:v>2</x:v>
      </x:c>
      <x:c r="M51" s="16" t="str"/>
    </x:row>
    <x:row r="52">
      <x:c r="A52" s="16" t="n">
        <x:v>46200</x:v>
      </x:c>
      <x:c r="B52" s="16" t="str">
        <x:v>Thứ 7</x:v>
      </x:c>
      <x:c r="C52" s="16" t="str">
        <x:v>21:00 - 22:30</x:v>
      </x:c>
      <x:c r="D52" s="16" t="str">
        <x:v>Spring Boot</x:v>
      </x:c>
      <x:c r="E52" s="16" t="str">
        <x:v>Spring Boot / React-WebSquare</x:v>
      </x:c>
      <x:c r="F52" s="16" t="str">
        <x:v>Ít thời gian: học lý thuyết + 1 commit. Nhiều thời gian: hoàn thành 1 tính năng</x:v>
      </x:c>
      <x:c r="G52" s="16" t="str">
        <x:v>1 commit hoặc 1 feature</x:v>
      </x:c>
      <x:c r="H52" s="16" t="str">
        <x:v>Trung bình</x:v>
      </x:c>
      <x:c r="I52" s="16" t="str">
        <x:v>☐ Chưa làm</x:v>
      </x:c>
      <x:c r="J52" s="16" t="str">
        <x:v>Giữ nguyên</x:v>
      </x:c>
      <x:c r="K52" s="16" t="str">
        <x:f>IF(J52="Dời sang ngày mai",A52+1,"")</x:f>
      </x:c>
      <x:c r="L52" s="16" t="n">
        <x:v>2</x:v>
      </x:c>
      <x:c r="M52" s="16" t="str"/>
    </x:row>
    <x:row r="53">
      <x:c r="A53" s="16" t="n">
        <x:v>46200</x:v>
      </x:c>
      <x:c r="B53" s="16" t="str">
        <x:v>Thứ 7</x:v>
      </x:c>
      <x:c r="C53" s="16" t="str">
        <x:v>22:30 - 23:00</x:v>
      </x:c>
      <x:c r="D53" s="16" t="str">
        <x:v>English</x:v>
      </x:c>
      <x:c r="E53" s="16" t="str">
        <x:v>English Anki</x:v>
      </x:c>
      <x:c r="F53" s="16" t="str">
        <x:v>10 từ mới + review; không nhồi quá nhiều cuối ngày</x:v>
      </x:c>
      <x:c r="G53" s="16" t="str">
        <x:v>Anki done</x:v>
      </x:c>
      <x:c r="H53" s="16" t="str">
        <x:v>Thấp</x:v>
      </x:c>
      <x:c r="I53" s="16" t="str">
        <x:v>☐ Chưa làm</x:v>
      </x:c>
      <x:c r="J53" s="16" t="str">
        <x:v>Giữ nguyên</x:v>
      </x:c>
      <x:c r="K53" s="16" t="str">
        <x:f>IF(J53="Dời sang ngày mai",A53+1,"")</x:f>
      </x:c>
      <x:c r="L53" s="16" t="n">
        <x:v>1</x:v>
      </x:c>
      <x:c r="M53" s="16" t="str"/>
    </x:row>
    <x:row r="54">
      <x:c r="A54" s="16" t="n">
        <x:v>46200</x:v>
      </x:c>
      <x:c r="B54" s="16" t="str">
        <x:v>Thứ 7</x:v>
      </x:c>
      <x:c r="C54" s="16" t="str">
        <x:v>Dòng phụ</x:v>
      </x:c>
      <x:c r="D54" s="16" t="str">
        <x:v>Task phụ</x:v>
      </x:c>
      <x:c r="E54" s="16" t="str">
        <x:v>Chọn task phụ</x:v>
      </x:c>
      <x:c r="F54" s="16" t="str">
        <x:v>Chọn từ dropdown: task chi tiết hiện có + chứng chỉ/skill phụ</x:v>
      </x:c>
      <x:c r="G54" s="16" t="str">
        <x:v>Tính thành tích riêng</x:v>
      </x:c>
      <x:c r="H54" s="16" t="str">
        <x:v>Thấp</x:v>
      </x:c>
      <x:c r="I54" s="16" t="str">
        <x:v>☐ Chưa làm</x:v>
      </x:c>
      <x:c r="J54" s="16" t="str">
        <x:v>Giữ nguyên</x:v>
      </x:c>
      <x:c r="K54" s="16" t="str">
        <x:f>IF(J54="Dời sang ngày mai",A54+1,"")</x:f>
      </x:c>
      <x:c r="L54" s="16" t="n">
        <x:v>1</x:v>
      </x:c>
      <x:c r="M54" s="16" t="str"/>
    </x:row>
    <x:row r="55">
      <x:c r="A55" s="16" t="n">
        <x:v>46201</x:v>
      </x:c>
      <x:c r="B55" s="16" t="str">
        <x:v>Chủ nhật</x:v>
      </x:c>
      <x:c r="C55" s="16" t="str">
        <x:v>08:30 - 08:50</x:v>
      </x:c>
      <x:c r="D55" s="16" t="str">
        <x:v>Exercise</x:v>
      </x:c>
      <x:c r="E55" s="16" t="str">
        <x:v>Tập thể dục tại nhà</x:v>
      </x:c>
      <x:c r="F55" s="16" t="str">
        <x:v>15–20 phút: giãn cơ + bodyweight nhẹ</x:v>
      </x:c>
      <x:c r="G55" s="16" t="str">
        <x:v>Hoàn thành 1 session</x:v>
      </x:c>
      <x:c r="H55" s="16" t="str">
        <x:v>Trung bình</x:v>
      </x:c>
      <x:c r="I55" s="16" t="str">
        <x:v>☐ Chưa làm</x:v>
      </x:c>
      <x:c r="J55" s="16" t="str">
        <x:v>Giữ nguyên</x:v>
      </x:c>
      <x:c r="K55" s="16" t="str">
        <x:f>IF(J55="Dời sang ngày mai",A55+1,"")</x:f>
      </x:c>
      <x:c r="L55" s="16" t="n">
        <x:v>1</x:v>
      </x:c>
      <x:c r="M55" s="16" t="str"/>
    </x:row>
    <x:row r="56">
      <x:c r="A56" s="16" t="n">
        <x:v>46201</x:v>
      </x:c>
      <x:c r="B56" s="16" t="str">
        <x:v>Chủ nhật</x:v>
      </x:c>
      <x:c r="C56" s="16" t="str">
        <x:v>09:00 - 12:00</x:v>
      </x:c>
      <x:c r="D56" s="16" t="str">
        <x:v>SQLD</x:v>
      </x:c>
      <x:c r="E56" s="16" t="str">
        <x:v>SQLD block</x:v>
      </x:c>
      <x:c r="F56" s="16" t="str">
        <x:v>Chọn 1: làm 1 mock / 2 đề / ôn lý thuyết theo lỗi sai</x:v>
      </x:c>
      <x:c r="G56" s="16" t="str">
        <x:v>Điểm mock hoặc error log</x:v>
      </x:c>
      <x:c r="H56" s="16" t="str">
        <x:v>Cao</x:v>
      </x:c>
      <x:c r="I56" s="16" t="str">
        <x:v>☐ Chưa làm</x:v>
      </x:c>
      <x:c r="J56" s="16" t="str">
        <x:v>Giữ nguyên</x:v>
      </x:c>
      <x:c r="K56" s="16" t="str">
        <x:f>IF(J56="Dời sang ngày mai",A56+1,"")</x:f>
      </x:c>
      <x:c r="L56" s="16" t="n">
        <x:v>4</x:v>
      </x:c>
      <x:c r="M56" s="16" t="str"/>
    </x:row>
    <x:row r="57">
      <x:c r="A57" s="16" t="n">
        <x:v>46201</x:v>
      </x:c>
      <x:c r="B57" s="16" t="str">
        <x:v>Chủ nhật</x:v>
      </x:c>
      <x:c r="C57" s="16" t="str">
        <x:v>14:00 - 17:00</x:v>
      </x:c>
      <x:c r="D57" s="16" t="str">
        <x:v>정보처리기사</x:v>
      </x:c>
      <x:c r="E57" s="16" t="str">
        <x:v>정보처리기사 block</x:v>
      </x:c>
      <x:c r="F57" s="16" t="str">
        <x:v>Chọn 1: làm 1 mock / 2 đề 기출 / ôn lý thuyết trọng điểm</x:v>
      </x:c>
      <x:c r="G57" s="16" t="str">
        <x:v>Điểm đề hoặc keyword log</x:v>
      </x:c>
      <x:c r="H57" s="16" t="str">
        <x:v>Cao</x:v>
      </x:c>
      <x:c r="I57" s="16" t="str">
        <x:v>☐ Chưa làm</x:v>
      </x:c>
      <x:c r="J57" s="16" t="str">
        <x:v>Giữ nguyên</x:v>
      </x:c>
      <x:c r="K57" s="16" t="str">
        <x:f>IF(J57="Dời sang ngày mai",A57+1,"")</x:f>
      </x:c>
      <x:c r="L57" s="16" t="n">
        <x:v>4</x:v>
      </x:c>
      <x:c r="M57" s="16" t="str"/>
    </x:row>
    <x:row r="58">
      <x:c r="A58" s="16" t="n">
        <x:v>46201</x:v>
      </x:c>
      <x:c r="B58" s="16" t="str">
        <x:v>Chủ nhật</x:v>
      </x:c>
      <x:c r="C58" s="16" t="str">
        <x:v>19:00 - 20:00</x:v>
      </x:c>
      <x:c r="D58" s="16" t="str">
        <x:v>IELTS</x:v>
      </x:c>
      <x:c r="E58" s="16" t="str">
        <x:v>IELTS Speaking</x:v>
      </x:c>
      <x:c r="F58" s="16" t="str">
        <x:v>Từ mới + 1 speaking task: ghi âm/answer set/correction</x:v>
      </x:c>
      <x:c r="G58" s="16" t="str">
        <x:v>1 recording hoặc correction</x:v>
      </x:c>
      <x:c r="H58" s="16" t="str">
        <x:v>Trung bình</x:v>
      </x:c>
      <x:c r="I58" s="16" t="str">
        <x:v>☐ Chưa làm</x:v>
      </x:c>
      <x:c r="J58" s="16" t="str">
        <x:v>Giữ nguyên</x:v>
      </x:c>
      <x:c r="K58" s="16" t="str">
        <x:f>IF(J58="Dời sang ngày mai",A58+1,"")</x:f>
      </x:c>
      <x:c r="L58" s="16" t="n">
        <x:v>2</x:v>
      </x:c>
      <x:c r="M58" s="16" t="str"/>
    </x:row>
    <x:row r="59">
      <x:c r="A59" s="16" t="n">
        <x:v>46201</x:v>
      </x:c>
      <x:c r="B59" s="16" t="str">
        <x:v>Chủ nhật</x:v>
      </x:c>
      <x:c r="C59" s="16" t="str">
        <x:v>20:00 - 21:00</x:v>
      </x:c>
      <x:c r="D59" s="16" t="str">
        <x:v>IELTS</x:v>
      </x:c>
      <x:c r="E59" s="16" t="str">
        <x:v>IELTS Writing</x:v>
      </x:c>
      <x:c r="F59" s="16" t="str">
        <x:v>Grammar in Use + 1 writing task nhỏ; nếu xong EGIU thì học 2–3 kỹ năng/ngày</x:v>
      </x:c>
      <x:c r="G59" s="16" t="str">
        <x:v>Outline/bài viết/lỗi sai</x:v>
      </x:c>
      <x:c r="H59" s="16" t="str">
        <x:v>Trung bình</x:v>
      </x:c>
      <x:c r="I59" s="16" t="str">
        <x:v>☐ Chưa làm</x:v>
      </x:c>
      <x:c r="J59" s="16" t="str">
        <x:v>Giữ nguyên</x:v>
      </x:c>
      <x:c r="K59" s="16" t="str">
        <x:f>IF(J59="Dời sang ngày mai",A59+1,"")</x:f>
      </x:c>
      <x:c r="L59" s="16" t="n">
        <x:v>2</x:v>
      </x:c>
      <x:c r="M59" s="16" t="str"/>
    </x:row>
    <x:row r="60">
      <x:c r="A60" s="16" t="n">
        <x:v>46201</x:v>
      </x:c>
      <x:c r="B60" s="16" t="str">
        <x:v>Chủ nhật</x:v>
      </x:c>
      <x:c r="C60" s="16" t="str">
        <x:v>21:00 - 22:30</x:v>
      </x:c>
      <x:c r="D60" s="16" t="str">
        <x:v>Korean</x:v>
      </x:c>
      <x:c r="E60" s="16" t="str">
        <x:v>Korean Deep Study</x:v>
      </x:c>
      <x:c r="F60" s="16" t="str">
        <x:v>5 từ mới + 1 task: đọc báo/KBS/shadowing/tóm tắt/ghi âm</x:v>
      </x:c>
      <x:c r="G60" s="16" t="str">
        <x:v>Tóm tắt hoặc recording</x:v>
      </x:c>
      <x:c r="H60" s="16" t="str">
        <x:v>Trung bình</x:v>
      </x:c>
      <x:c r="I60" s="16" t="str">
        <x:v>☐ Chưa làm</x:v>
      </x:c>
      <x:c r="J60" s="16" t="str">
        <x:v>Giữ nguyên</x:v>
      </x:c>
      <x:c r="K60" s="16" t="str">
        <x:f>IF(J60="Dời sang ngày mai",A60+1,"")</x:f>
      </x:c>
      <x:c r="L60" s="16" t="n">
        <x:v>2</x:v>
      </x:c>
      <x:c r="M60" s="16" t="str"/>
    </x:row>
    <x:row r="61">
      <x:c r="A61" s="16" t="n">
        <x:v>46201</x:v>
      </x:c>
      <x:c r="B61" s="16" t="str">
        <x:v>Chủ nhật</x:v>
      </x:c>
      <x:c r="C61" s="16" t="str">
        <x:v>Dòng phụ</x:v>
      </x:c>
      <x:c r="D61" s="16" t="str">
        <x:v>Task phụ</x:v>
      </x:c>
      <x:c r="E61" s="16" t="str">
        <x:v>Chọn task phụ</x:v>
      </x:c>
      <x:c r="F61" s="16" t="str">
        <x:v>Chọn từ dropdown: task chi tiết hiện có + chứng chỉ/skill phụ</x:v>
      </x:c>
      <x:c r="G61" s="16" t="str">
        <x:v>Tính thành tích riêng</x:v>
      </x:c>
      <x:c r="H61" s="16" t="str">
        <x:v>Thấp</x:v>
      </x:c>
      <x:c r="I61" s="16" t="str">
        <x:v>☐ Chưa làm</x:v>
      </x:c>
      <x:c r="J61" s="16" t="str">
        <x:v>Giữ nguyên</x:v>
      </x:c>
      <x:c r="K61" s="16" t="str">
        <x:f>IF(J61="Dời sang ngày mai",A61+1,"")</x:f>
      </x:c>
      <x:c r="L61" s="16" t="n">
        <x:v>1</x:v>
      </x:c>
      <x:c r="M61" s="16" t="str"/>
    </x:row>
    <x:row r="62">
      <x:c r="A62" s="16" t="n">
        <x:v>46202</x:v>
      </x:c>
      <x:c r="B62" s="16" t="str">
        <x:v>Thứ 2</x:v>
      </x:c>
      <x:c r="C62" s="16" t="str">
        <x:v>20:35 - 20:55</x:v>
      </x:c>
      <x:c r="D62" s="16" t="str">
        <x:v>Exercise</x:v>
      </x:c>
      <x:c r="E62" s="16" t="str">
        <x:v>Tập thể dục tại nhà</x:v>
      </x:c>
      <x:c r="F62" s="16" t="str">
        <x:v>15–20 phút: mobility/bodyweight nhẹ, không tập quá nặng trước giờ học</x:v>
      </x:c>
      <x:c r="G62" s="16" t="str">
        <x:v>Hoàn thành 1 session</x:v>
      </x:c>
      <x:c r="H62" s="16" t="str">
        <x:v>Trung bình</x:v>
      </x:c>
      <x:c r="I62" s="16" t="str">
        <x:v>☐ Chưa làm</x:v>
      </x:c>
      <x:c r="J62" s="16" t="str">
        <x:v>Giữ nguyên</x:v>
      </x:c>
      <x:c r="K62" s="16" t="str">
        <x:f>IF(J62="Dời sang ngày mai",A62+1,"")</x:f>
      </x:c>
      <x:c r="L62" s="16" t="n">
        <x:v>1</x:v>
      </x:c>
      <x:c r="M62" s="16" t="str"/>
    </x:row>
    <x:row r="63">
      <x:c r="A63" s="16" t="n">
        <x:v>46202</x:v>
      </x:c>
      <x:c r="B63" s="16" t="str">
        <x:v>Thứ 2</x:v>
      </x:c>
      <x:c r="C63" s="16" t="str">
        <x:v>21:00 - 22:30</x:v>
      </x:c>
      <x:c r="D63" s="16" t="str">
        <x:v>SQLD</x:v>
      </x:c>
      <x:c r="E63" s="16" t="str">
        <x:v>SQLD luyện tập</x:v>
      </x:c>
      <x:c r="F63" s="16" t="str">
        <x:v>Chọn 1: làm 1 mock mini / 2 đề nhỏ / ôn lý thuyết môn 2</x:v>
      </x:c>
      <x:c r="G63" s="16" t="str">
        <x:v>Có điểm hoặc error log</x:v>
      </x:c>
      <x:c r="H63" s="16" t="str">
        <x:v>Cao</x:v>
      </x:c>
      <x:c r="I63" s="16" t="str">
        <x:v>☐ Chưa làm</x:v>
      </x:c>
      <x:c r="J63" s="16" t="str">
        <x:v>Giữ nguyên</x:v>
      </x:c>
      <x:c r="K63" s="16" t="str">
        <x:f>IF(J63="Dời sang ngày mai",A63+1,"")</x:f>
      </x:c>
      <x:c r="L63" s="16" t="n">
        <x:v>3</x:v>
      </x:c>
      <x:c r="M63" s="16" t="str"/>
    </x:row>
    <x:row r="64">
      <x:c r="A64" s="16" t="n">
        <x:v>46202</x:v>
      </x:c>
      <x:c r="B64" s="16" t="str">
        <x:v>Thứ 2</x:v>
      </x:c>
      <x:c r="C64" s="16" t="str">
        <x:v>22:30 - 23:30</x:v>
      </x:c>
      <x:c r="D64" s="16" t="str">
        <x:v>정보처리기사</x:v>
      </x:c>
      <x:c r="E64" s="16" t="str">
        <x:v>정보처리기사 luyện tập</x:v>
      </x:c>
      <x:c r="F64" s="16" t="str">
        <x:v>Chọn 1: làm 1 bộ 기출 mini / ôn lý thuyết / chữa câu sai</x:v>
      </x:c>
      <x:c r="G64" s="16" t="str">
        <x:v>Có list câu sai/keyword</x:v>
      </x:c>
      <x:c r="H64" s="16" t="str">
        <x:v>Cao</x:v>
      </x:c>
      <x:c r="I64" s="16" t="str">
        <x:v>☐ Chưa làm</x:v>
      </x:c>
      <x:c r="J64" s="16" t="str">
        <x:v>Giữ nguyên</x:v>
      </x:c>
      <x:c r="K64" s="16" t="str">
        <x:f>IF(J64="Dời sang ngày mai",A64+1,"")</x:f>
      </x:c>
      <x:c r="L64" s="16" t="n">
        <x:v>3</x:v>
      </x:c>
      <x:c r="M64" s="16" t="str"/>
    </x:row>
    <x:row r="65">
      <x:c r="A65" s="16" t="n">
        <x:v>46202</x:v>
      </x:c>
      <x:c r="B65" s="16" t="str">
        <x:v>Thứ 2</x:v>
      </x:c>
      <x:c r="C65" s="16" t="str">
        <x:v>23:30 - 00:00</x:v>
      </x:c>
      <x:c r="D65" s="16" t="str">
        <x:v>English</x:v>
      </x:c>
      <x:c r="E65" s="16" t="str">
        <x:v>English daily</x:v>
      </x:c>
      <x:c r="F65" s="16" t="str">
        <x:v>10 từ mới + English Grammar in Use 1 phần nhỏ; nếu xong EGIU thì đổi sang 2–3 kỹ năng IELTS/ngày</x:v>
      </x:c>
      <x:c r="G65" s="16" t="str">
        <x:v>Anki + grammar note</x:v>
      </x:c>
      <x:c r="H65" s="16" t="str">
        <x:v>Trung bình</x:v>
      </x:c>
      <x:c r="I65" s="16" t="str">
        <x:v>☐ Chưa làm</x:v>
      </x:c>
      <x:c r="J65" s="16" t="str">
        <x:v>Giữ nguyên</x:v>
      </x:c>
      <x:c r="K65" s="16" t="str">
        <x:f>IF(J65="Dời sang ngày mai",A65+1,"")</x:f>
      </x:c>
      <x:c r="L65" s="16" t="n">
        <x:v>1</x:v>
      </x:c>
      <x:c r="M65" s="16" t="str"/>
    </x:row>
    <x:row r="66">
      <x:c r="A66" s="16" t="n">
        <x:v>46202</x:v>
      </x:c>
      <x:c r="B66" s="16" t="str">
        <x:v>Thứ 2</x:v>
      </x:c>
      <x:c r="C66" s="16" t="str">
        <x:v>Dòng phụ</x:v>
      </x:c>
      <x:c r="D66" s="16" t="str">
        <x:v>Task phụ</x:v>
      </x:c>
      <x:c r="E66" s="16" t="str">
        <x:v>Chọn task phụ</x:v>
      </x:c>
      <x:c r="F66" s="16" t="str">
        <x:v>Chọn từ dropdown: task chi tiết hiện có + chứng chỉ/skill phụ</x:v>
      </x:c>
      <x:c r="G66" s="16" t="str">
        <x:v>Tính thành tích riêng</x:v>
      </x:c>
      <x:c r="H66" s="16" t="str">
        <x:v>Thấp</x:v>
      </x:c>
      <x:c r="I66" s="16" t="str">
        <x:v>☐ Chưa làm</x:v>
      </x:c>
      <x:c r="J66" s="16" t="str">
        <x:v>Giữ nguyên</x:v>
      </x:c>
      <x:c r="K66" s="16" t="str">
        <x:f>IF(J66="Dời sang ngày mai",A66+1,"")</x:f>
      </x:c>
      <x:c r="L66" s="16" t="n">
        <x:v>1</x:v>
      </x:c>
      <x:c r="M66" s="16" t="str"/>
    </x:row>
    <x:row r="67">
      <x:c r="A67" s="16" t="n">
        <x:v>46203</x:v>
      </x:c>
      <x:c r="B67" s="16" t="str">
        <x:v>Thứ 3</x:v>
      </x:c>
      <x:c r="C67" s="16" t="str">
        <x:v>20:35 - 20:55</x:v>
      </x:c>
      <x:c r="D67" s="16" t="str">
        <x:v>Exercise</x:v>
      </x:c>
      <x:c r="E67" s="16" t="str">
        <x:v>Tập thể dục tại nhà</x:v>
      </x:c>
      <x:c r="F67" s="16" t="str">
        <x:v>15–20 phút: mobility/bodyweight nhẹ, không tập quá nặng trước giờ học</x:v>
      </x:c>
      <x:c r="G67" s="16" t="str">
        <x:v>Hoàn thành 1 session</x:v>
      </x:c>
      <x:c r="H67" s="16" t="str">
        <x:v>Trung bình</x:v>
      </x:c>
      <x:c r="I67" s="16" t="str">
        <x:v>☐ Chưa làm</x:v>
      </x:c>
      <x:c r="J67" s="16" t="str">
        <x:v>Giữ nguyên</x:v>
      </x:c>
      <x:c r="K67" s="16" t="str">
        <x:f>IF(J67="Dời sang ngày mai",A67+1,"")</x:f>
      </x:c>
      <x:c r="L67" s="16" t="n">
        <x:v>1</x:v>
      </x:c>
      <x:c r="M67" s="16" t="str"/>
    </x:row>
    <x:row r="68">
      <x:c r="A68" s="16" t="n">
        <x:v>46203</x:v>
      </x:c>
      <x:c r="B68" s="16" t="str">
        <x:v>Thứ 3</x:v>
      </x:c>
      <x:c r="C68" s="16" t="str">
        <x:v>21:00 - 22:15</x:v>
      </x:c>
      <x:c r="D68" s="16" t="str">
        <x:v>IELTS</x:v>
      </x:c>
      <x:c r="E68" s="16" t="str">
        <x:v>IELTS Homework + Review</x:v>
      </x:c>
      <x:c r="F68" s="16" t="str">
        <x:v>Từ mới + English Grammar in Use + 1 IELTS skill hoặc vài unit Cambridge</x:v>
      </x:c>
      <x:c r="G68" s="16" t="str">
        <x:v>Homework + lỗi sai</x:v>
      </x:c>
      <x:c r="H68" s="16" t="str">
        <x:v>Trung bình</x:v>
      </x:c>
      <x:c r="I68" s="16" t="str">
        <x:v>☐ Chưa làm</x:v>
      </x:c>
      <x:c r="J68" s="16" t="str">
        <x:v>Giữ nguyên</x:v>
      </x:c>
      <x:c r="K68" s="16" t="str">
        <x:f>IF(J68="Dời sang ngày mai",A68+1,"")</x:f>
      </x:c>
      <x:c r="L68" s="16" t="n">
        <x:v>2</x:v>
      </x:c>
      <x:c r="M68" s="16" t="str"/>
    </x:row>
    <x:row r="69">
      <x:c r="A69" s="16" t="n">
        <x:v>46203</x:v>
      </x:c>
      <x:c r="B69" s="16" t="str">
        <x:v>Thứ 3</x:v>
      </x:c>
      <x:c r="C69" s="16" t="str">
        <x:v>22:30 - 00:00</x:v>
      </x:c>
      <x:c r="D69" s="16" t="str">
        <x:v>IELTS</x:v>
      </x:c>
      <x:c r="E69" s="16" t="str">
        <x:v>IELTS Class</x:v>
      </x:c>
      <x:c r="F69" s="16" t="str">
        <x:v>Đi học lớp; sau lớp chỉ ghi từ mới/homework, không học thêm</x:v>
      </x:c>
      <x:c r="G69" s="16" t="str">
        <x:v>Note homework + vocab</x:v>
      </x:c>
      <x:c r="H69" s="16" t="str">
        <x:v>Cao</x:v>
      </x:c>
      <x:c r="I69" s="16" t="str">
        <x:v>☐ Chưa làm</x:v>
      </x:c>
      <x:c r="J69" s="16" t="str">
        <x:v>Giữ nguyên</x:v>
      </x:c>
      <x:c r="K69" s="16" t="str">
        <x:f>IF(J69="Dời sang ngày mai",A69+1,"")</x:f>
      </x:c>
      <x:c r="L69" s="16" t="n">
        <x:v>2</x:v>
      </x:c>
      <x:c r="M69" s="16" t="str"/>
    </x:row>
    <x:row r="70">
      <x:c r="A70" s="16" t="n">
        <x:v>46203</x:v>
      </x:c>
      <x:c r="B70" s="16" t="str">
        <x:v>Thứ 3</x:v>
      </x:c>
      <x:c r="C70" s="16" t="str">
        <x:v>Dòng phụ</x:v>
      </x:c>
      <x:c r="D70" s="16" t="str">
        <x:v>Task phụ</x:v>
      </x:c>
      <x:c r="E70" s="16" t="str">
        <x:v>Chọn task phụ</x:v>
      </x:c>
      <x:c r="F70" s="16" t="str">
        <x:v>Chọn từ dropdown: task chi tiết hiện có + chứng chỉ/skill phụ</x:v>
      </x:c>
      <x:c r="G70" s="16" t="str">
        <x:v>Tính thành tích riêng</x:v>
      </x:c>
      <x:c r="H70" s="16" t="str">
        <x:v>Thấp</x:v>
      </x:c>
      <x:c r="I70" s="16" t="str">
        <x:v>☐ Chưa làm</x:v>
      </x:c>
      <x:c r="J70" s="16" t="str">
        <x:v>Giữ nguyên</x:v>
      </x:c>
      <x:c r="K70" s="16" t="str">
        <x:f>IF(J70="Dời sang ngày mai",A70+1,"")</x:f>
      </x:c>
      <x:c r="L70" s="16" t="n">
        <x:v>1</x:v>
      </x:c>
      <x:c r="M70" s="16" t="str"/>
    </x:row>
  </x:sheetData>
  <x:conditionalFormatting sqref="I2:I70">
    <x:cfRule type="expression" dxfId="0" priority="1">
      <x:formula>LEFT(I2,1)="☑"</x:formula>
    </x:cfRule>
    <x:cfRule type="expression" dxfId="1" priority="2">
      <x:formula>LEFT(I2,1)="➜"</x:formula>
    </x:cfRule>
  </x:conditionalFormatting>
  <x:conditionalFormatting sqref="H2:H70">
    <x:cfRule type="expression" dxfId="2" priority="3">
      <x:formula>H2="Cao"</x:formula>
    </x:cfRule>
  </x:conditionalFormatting>
  <x:conditionalFormatting sqref="J2:J70">
    <x:cfRule type="expression" dxfId="3" priority="4">
      <x:formula>J2="Dời sang ngày mai"</x:formula>
    </x:cfRule>
  </x:conditionalFormatting>
  <x:dataValidations count="4">
    <x:dataValidation type="list" sqref="D2:D70">
      <x:formula1>Danh mục!$D$2:$D$11</x:formula1>
    </x:dataValidation>
    <x:dataValidation type="list" sqref="H2:H70">
      <x:formula1>Danh mục!$C$2:$C$4</x:formula1>
    </x:dataValidation>
    <x:dataValidation type="list" sqref="I2:I70">
      <x:formula1>Danh mục!$A$2:$A$6</x:formula1>
    </x:dataValidation>
    <x:dataValidation type="list" sqref="J2:J70">
      <x:formula1>Danh mục!$B$2:$B$3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a5e46e80be466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58" hidden="0" customWidth="1"/>
    <x:col min="5" max="5" width="16" hidden="0" customWidth="1"/>
    <x:col min="6" max="6" width="30" hidden="0" customWidth="1"/>
  </x:cols>
  <x:sheetData>
    <x:row r="1">
      <x:c r="A1" s="6" t="str">
        <x:v>Tuần</x:v>
      </x:c>
      <x:c r="B1" s="6" t="str">
        <x:v>Nhóm</x:v>
      </x:c>
      <x:c r="C1" s="6" t="str">
        <x:v>Mục tiêu checkbox</x:v>
      </x:c>
      <x:c r="D1" s="6" t="str">
        <x:v>Tiêu chí hoàn thành</x:v>
      </x:c>
      <x:c r="E1" s="6" t="str">
        <x:v>Status</x:v>
      </x:c>
      <x:c r="F1" s="6" t="str">
        <x:v>Ghi chú</x:v>
      </x:c>
    </x:row>
    <x:row r="2">
      <x:c r="A2" s="12" t="str">
        <x:v>Tuần 18–21/6</x:v>
      </x:c>
      <x:c r="B2" s="12" t="str">
        <x:v>SQLD</x:v>
      </x:c>
      <x:c r="C2" s="12" t="str">
        <x:v>☐</x:v>
      </x:c>
      <x:c r="D2" s="12" t="str">
        <x:v>Hoàn thành ít nhất 1 mock mini hoặc 2 đề nhỏ + error log</x:v>
      </x:c>
      <x:c r="E2" s="12" t="str">
        <x:v>☐ Chưa làm</x:v>
      </x:c>
      <x:c r="F2" s="12" t="str"/>
    </x:row>
    <x:row r="3">
      <x:c r="A3" s="12" t="str">
        <x:v>Tuần 18–21/6</x:v>
      </x:c>
      <x:c r="B3" s="12" t="str">
        <x:v>정보처리기사</x:v>
      </x:c>
      <x:c r="C3" s="12" t="str">
        <x:v>☐</x:v>
      </x:c>
      <x:c r="D3" s="12" t="str">
        <x:v>Hoàn thành ít nhất 1 bộ 기출 mini + keyword/câu sai</x:v>
      </x:c>
      <x:c r="E3" s="12" t="str">
        <x:v>☐ Chưa làm</x:v>
      </x:c>
      <x:c r="F3" s="12" t="str"/>
    </x:row>
    <x:row r="4">
      <x:c r="A4" s="12" t="str">
        <x:v>Tuần 18–21/6</x:v>
      </x:c>
      <x:c r="B4" s="12" t="str">
        <x:v>IELTS</x:v>
      </x:c>
      <x:c r="C4" s="12" t="str">
        <x:v>☐</x:v>
      </x:c>
      <x:c r="D4" s="12" t="str">
        <x:v>Đi học đủ lớp + English Grammar in Use/từ mới theo ngày</x:v>
      </x:c>
      <x:c r="E4" s="12" t="str">
        <x:v>☐ Chưa làm</x:v>
      </x:c>
      <x:c r="F4" s="12" t="str"/>
    </x:row>
    <x:row r="5">
      <x:c r="A5" s="12" t="str">
        <x:v>Tuần 18–21/6</x:v>
      </x:c>
      <x:c r="B5" s="12" t="str">
        <x:v>Korean</x:v>
      </x:c>
      <x:c r="C5" s="12" t="str">
        <x:v>☐</x:v>
      </x:c>
      <x:c r="D5" s="12" t="str">
        <x:v>5 từ/lần + 1 task báo/shadowing/ghi âm</x:v>
      </x:c>
      <x:c r="E5" s="12" t="str">
        <x:v>☐ Chưa làm</x:v>
      </x:c>
      <x:c r="F5" s="12" t="str"/>
    </x:row>
    <x:row r="6">
      <x:c r="A6" s="12" t="str">
        <x:v>Tuần 18–21/6</x:v>
      </x:c>
      <x:c r="B6" s="12" t="str">
        <x:v>Tech</x:v>
      </x:c>
      <x:c r="C6" s="12" t="str">
        <x:v>☐</x:v>
      </x:c>
      <x:c r="D6" s="12" t="str">
        <x:v>Spring/React-WebSquare: 1 commit hoặc 1 tính năng</x:v>
      </x:c>
      <x:c r="E6" s="12" t="str">
        <x:v>☐ Chưa làm</x:v>
      </x:c>
      <x:c r="F6" s="12" t="str"/>
    </x:row>
    <x:row r="7">
      <x:c r="A7" s="12" t="str">
        <x:v>Tuần 18–21/6</x:v>
      </x:c>
      <x:c r="B7" s="12" t="str">
        <x:v>Health</x:v>
      </x:c>
      <x:c r="C7" s="12" t="str">
        <x:v>☐</x:v>
      </x:c>
      <x:c r="D7" s="12" t="str">
        <x:v>Tập tại nhà hằng ngày + bơi cuối tuần 1–1.5h</x:v>
      </x:c>
      <x:c r="E7" s="12" t="str">
        <x:v>☐ Chưa làm</x:v>
      </x:c>
      <x:c r="F7" s="12" t="str"/>
    </x:row>
    <x:row r="8">
      <x:c r="A8" s="12" t="str">
        <x:v>Tuần 22–28/6</x:v>
      </x:c>
      <x:c r="B8" s="12" t="str">
        <x:v>SQLD</x:v>
      </x:c>
      <x:c r="C8" s="12" t="str">
        <x:v>☐</x:v>
      </x:c>
      <x:c r="D8" s="12" t="str">
        <x:v>Tối thiểu 3 block SQLD: mock/2 đề/ôn lý thuyết</x:v>
      </x:c>
      <x:c r="E8" s="12" t="str">
        <x:v>☐ Chưa làm</x:v>
      </x:c>
      <x:c r="F8" s="12" t="str"/>
    </x:row>
    <x:row r="9">
      <x:c r="A9" s="12" t="str">
        <x:v>Tuần 22–28/6</x:v>
      </x:c>
      <x:c r="B9" s="12" t="str">
        <x:v>정보처리기사</x:v>
      </x:c>
      <x:c r="C9" s="12" t="str">
        <x:v>☐</x:v>
      </x:c>
      <x:c r="D9" s="12" t="str">
        <x:v>Tối thiểu 2–3 block: mock/기출/ôn lý thuyết</x:v>
      </x:c>
      <x:c r="E9" s="12" t="str">
        <x:v>☐ Chưa làm</x:v>
      </x:c>
      <x:c r="F9" s="12" t="str"/>
    </x:row>
    <x:row r="10">
      <x:c r="A10" s="12" t="str">
        <x:v>Tuần 22–28/6</x:v>
      </x:c>
      <x:c r="B10" s="12" t="str">
        <x:v>IELTS</x:v>
      </x:c>
      <x:c r="C10" s="12" t="str">
        <x:v>☐</x:v>
      </x:c>
      <x:c r="D10" s="12" t="str">
        <x:v>2 lớp + English daily + 1 skill/Cambridge task trong ngày học English</x:v>
      </x:c>
      <x:c r="E10" s="12" t="str">
        <x:v>☐ Chưa làm</x:v>
      </x:c>
      <x:c r="F10" s="12" t="str"/>
    </x:row>
    <x:row r="11">
      <x:c r="A11" s="12" t="str">
        <x:v>Tuần 22–28/6</x:v>
      </x:c>
      <x:c r="B11" s="12" t="str">
        <x:v>Korean</x:v>
      </x:c>
      <x:c r="C11" s="12" t="str">
        <x:v>☐</x:v>
      </x:c>
      <x:c r="D11" s="12" t="str">
        <x:v>2 lần Korean: từ mới + báo/KBS/shadowing/ghi âm</x:v>
      </x:c>
      <x:c r="E11" s="12" t="str">
        <x:v>☐ Chưa làm</x:v>
      </x:c>
      <x:c r="F11" s="12" t="str"/>
    </x:row>
    <x:row r="12">
      <x:c r="A12" s="12" t="str">
        <x:v>Tuần 22–28/6</x:v>
      </x:c>
      <x:c r="B12" s="12" t="str">
        <x:v>Tech</x:v>
      </x:c>
      <x:c r="C12" s="12" t="str">
        <x:v>☐</x:v>
      </x:c>
      <x:c r="D12" s="12" t="str">
        <x:v>Spring/React-WebSquare: 1–2 commit hoặc 1 feature</x:v>
      </x:c>
      <x:c r="E12" s="12" t="str">
        <x:v>☐ Chưa làm</x:v>
      </x:c>
      <x:c r="F12" s="12" t="str"/>
    </x:row>
    <x:row r="13">
      <x:c r="A13" s="12" t="str">
        <x:v>Tuần 22–28/6</x:v>
      </x:c>
      <x:c r="B13" s="12" t="str">
        <x:v>Health</x:v>
      </x:c>
      <x:c r="C13" s="12" t="str">
        <x:v>☐</x:v>
      </x:c>
      <x:c r="D13" s="12" t="str">
        <x:v>Tập tại nhà 5–7 ngày + bơi cuối tuần</x:v>
      </x:c>
      <x:c r="E13" s="12" t="str">
        <x:v>☐ Chưa làm</x:v>
      </x:c>
      <x:c r="F13" s="12" t="str"/>
    </x:row>
    <x:row r="14">
      <x:c r="A14" s="12" t="str">
        <x:v>Tuần 29–30/6</x:v>
      </x:c>
      <x:c r="B14" s="12" t="str">
        <x:v>SQLD</x:v>
      </x:c>
      <x:c r="C14" s="12" t="str">
        <x:v>☐</x:v>
      </x:c>
      <x:c r="D14" s="12" t="str">
        <x:v>Có ít nhất 1 block SQLD chất lượng</x:v>
      </x:c>
      <x:c r="E14" s="12" t="str">
        <x:v>☐ Chưa làm</x:v>
      </x:c>
      <x:c r="F14" s="12" t="str"/>
    </x:row>
    <x:row r="15">
      <x:c r="A15" s="12" t="str">
        <x:v>Tuần 29–30/6</x:v>
      </x:c>
      <x:c r="B15" s="12" t="str">
        <x:v>정보처리기사</x:v>
      </x:c>
      <x:c r="C15" s="12" t="str">
        <x:v>☐</x:v>
      </x:c>
      <x:c r="D15" s="12" t="str">
        <x:v>Có ít nhất 1 block 기출/ôn lý thuyết</x:v>
      </x:c>
      <x:c r="E15" s="12" t="str">
        <x:v>☐ Chưa làm</x:v>
      </x:c>
      <x:c r="F15" s="12" t="str"/>
    </x:row>
    <x:row r="16">
      <x:c r="A16" s="12" t="str">
        <x:v>Tuần 29–30/6</x:v>
      </x:c>
      <x:c r="B16" s="12" t="str">
        <x:v>English</x:v>
      </x:c>
      <x:c r="C16" s="12" t="str">
        <x:v>☐</x:v>
      </x:c>
      <x:c r="D16" s="12" t="str">
        <x:v>Anki + Grammar in Use duy trì</x:v>
      </x:c>
      <x:c r="E16" s="12" t="str">
        <x:v>☐ Chưa làm</x:v>
      </x:c>
      <x:c r="F16" s="12" t="str"/>
    </x:row>
  </x:sheetData>
  <x:conditionalFormatting sqref="C2:C16">
    <x:cfRule type="expression" dxfId="4" priority="1">
      <x:formula>C2="☑"</x:formula>
    </x:cfRule>
  </x:conditionalFormatting>
  <x:dataValidations count="2">
    <x:dataValidation type="list" sqref="C2:C16">
      <x:formula1>"☐,☑"</x:formula1>
    </x:dataValidation>
    <x:dataValidation type="list" sqref="E2:E16">
      <x:formula1>Danh mục!$A$2:$A$6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bea6fc511d4b2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58" hidden="0" customWidth="1"/>
    <x:col min="5" max="5" width="40" hidden="0" customWidth="1"/>
    <x:col min="6" max="6" width="16" hidden="0" customWidth="1"/>
    <x:col min="7" max="7" width="30" hidden="0" customWidth="1"/>
  </x:cols>
  <x:sheetData>
    <x:row r="1">
      <x:c r="A1" s="6" t="str">
        <x:v>Tháng</x:v>
      </x:c>
      <x:c r="B1" s="6" t="str">
        <x:v>Nhóm</x:v>
      </x:c>
      <x:c r="C1" s="6" t="str">
        <x:v>Mục tiêu checkbox</x:v>
      </x:c>
      <x:c r="D1" s="6" t="str">
        <x:v>Mục tiêu tháng 6 demo</x:v>
      </x:c>
      <x:c r="E1" s="6" t="str">
        <x:v>KPI tối thiểu</x:v>
      </x:c>
      <x:c r="F1" s="6" t="str">
        <x:v>Status</x:v>
      </x:c>
      <x:c r="G1" s="6" t="str">
        <x:v>Ghi chú</x:v>
      </x:c>
    </x:row>
    <x:row r="2">
      <x:c r="A2" s="12" t="str">
        <x:v>06/2026</x:v>
      </x:c>
      <x:c r="B2" s="12" t="str">
        <x:v>SQLD</x:v>
      </x:c>
      <x:c r="C2" s="12" t="str">
        <x:v>☐</x:v>
      </x:c>
      <x:c r="D2" s="12" t="str">
        <x:v>Duy trì luyện đề/ôn lý thuyết theo hướng môn 2 là trọng tâm</x:v>
      </x:c>
      <x:c r="E2" s="12" t="str">
        <x:v>≥ 6 block chất lượng từ 18–30/6</x:v>
      </x:c>
      <x:c r="F2" s="12" t="str">
        <x:v>☐ Chưa làm</x:v>
      </x:c>
      <x:c r="G2" s="12" t="str"/>
    </x:row>
    <x:row r="3">
      <x:c r="A3" s="12" t="str">
        <x:v>06/2026</x:v>
      </x:c>
      <x:c r="B3" s="12" t="str">
        <x:v>정보처리기사</x:v>
      </x:c>
      <x:c r="C3" s="12" t="str">
        <x:v>☐</x:v>
      </x:c>
      <x:c r="D3" s="12" t="str">
        <x:v>Duy trì 기출 + lý thuyết trọng điểm, không học lại từ đầu</x:v>
      </x:c>
      <x:c r="E3" s="12" t="str">
        <x:v>≥ 4 block chất lượng từ 18–30/6</x:v>
      </x:c>
      <x:c r="F3" s="12" t="str">
        <x:v>☐ Chưa làm</x:v>
      </x:c>
      <x:c r="G3" s="12" t="str"/>
    </x:row>
    <x:row r="4">
      <x:c r="A4" s="12" t="str">
        <x:v>06/2026</x:v>
      </x:c>
      <x:c r="B4" s="12" t="str">
        <x:v>IELTS</x:v>
      </x:c>
      <x:c r="C4" s="12" t="str">
        <x:v>☐</x:v>
      </x:c>
      <x:c r="D4" s="12" t="str">
        <x:v>English daily: từ mới + Grammar in Use; mỗi ngày học English thêm 1 skill/Cambridge task</x:v>
      </x:c>
      <x:c r="E4" s="12" t="str">
        <x:v>≥ 8 ngày có English output</x:v>
      </x:c>
      <x:c r="F4" s="12" t="str">
        <x:v>☐ Chưa làm</x:v>
      </x:c>
      <x:c r="G4" s="12" t="str"/>
    </x:row>
    <x:row r="5">
      <x:c r="A5" s="12" t="str">
        <x:v>06/2026</x:v>
      </x:c>
      <x:c r="B5" s="12" t="str">
        <x:v>Korean</x:v>
      </x:c>
      <x:c r="C5" s="12" t="str">
        <x:v>☐</x:v>
      </x:c>
      <x:c r="D5" s="12" t="str">
        <x:v>5 từ mới + 1 task báo/KBS/shadowing/ghi âm trong ngày học Korean</x:v>
      </x:c>
      <x:c r="E5" s="12" t="str">
        <x:v>≥ 3 outputs Korean</x:v>
      </x:c>
      <x:c r="F5" s="12" t="str">
        <x:v>☐ Chưa làm</x:v>
      </x:c>
      <x:c r="G5" s="12" t="str"/>
    </x:row>
    <x:row r="6">
      <x:c r="A6" s="12" t="str">
        <x:v>06/2026</x:v>
      </x:c>
      <x:c r="B6" s="12" t="str">
        <x:v>Spring Boot</x:v>
      </x:c>
      <x:c r="C6" s="12" t="str">
        <x:v>☐</x:v>
      </x:c>
      <x:c r="D6" s="12" t="str">
        <x:v>Lý thuyết/1 commit/1 feature tùy thời gian</x:v>
      </x:c>
      <x:c r="E6" s="12" t="str">
        <x:v>≥ 2 commit hoặc 1 feature</x:v>
      </x:c>
      <x:c r="F6" s="12" t="str">
        <x:v>☐ Chưa làm</x:v>
      </x:c>
      <x:c r="G6" s="12" t="str"/>
    </x:row>
    <x:row r="7">
      <x:c r="A7" s="12" t="str">
        <x:v>06/2026</x:v>
      </x:c>
      <x:c r="B7" s="12" t="str">
        <x:v>React/WebSquare</x:v>
      </x:c>
      <x:c r="C7" s="12" t="str">
        <x:v>☐</x:v>
      </x:c>
      <x:c r="D7" s="12" t="str">
        <x:v>Lý thuyết/1 commit/1 feature tương tự Spring Boot</x:v>
      </x:c>
      <x:c r="E7" s="12" t="str">
        <x:v>≥ 1 session</x:v>
      </x:c>
      <x:c r="F7" s="12" t="str">
        <x:v>☐ Chưa làm</x:v>
      </x:c>
      <x:c r="G7" s="12" t="str"/>
    </x:row>
    <x:row r="8">
      <x:c r="A8" s="12" t="str">
        <x:v>06/2026</x:v>
      </x:c>
      <x:c r="B8" s="12" t="str">
        <x:v>Health</x:v>
      </x:c>
      <x:c r="C8" s="12" t="str">
        <x:v>☐</x:v>
      </x:c>
      <x:c r="D8" s="12" t="str">
        <x:v>Tập tại nhà 15–20p/ngày + bơi cuối tuần</x:v>
      </x:c>
      <x:c r="E8" s="12" t="str">
        <x:v>≥ 9 session tại nhà + ≥ 1 buổi bơi</x:v>
      </x:c>
      <x:c r="F8" s="12" t="str">
        <x:v>☐ Chưa làm</x:v>
      </x:c>
      <x:c r="G8" s="12" t="str"/>
    </x:row>
    <x:row r="9">
      <x:c r="A9" s="12" t="str">
        <x:v>06/2026</x:v>
      </x:c>
      <x:c r="B9" s="12" t="str">
        <x:v>Task phụ</x:v>
      </x:c>
      <x:c r="C9" s="12" t="str">
        <x:v>☐</x:v>
      </x:c>
      <x:c r="D9" s="12" t="str">
        <x:v>Dùng dòng task phụ để chọn thêm skill/chứng chỉ khi còn sức</x:v>
      </x:c>
      <x:c r="E9" s="12" t="str">
        <x:v>≥ 3 task phụ hoàn thành</x:v>
      </x:c>
      <x:c r="F9" s="12" t="str">
        <x:v>☐ Chưa làm</x:v>
      </x:c>
      <x:c r="G9" s="12" t="str"/>
    </x:row>
  </x:sheetData>
  <x:conditionalFormatting sqref="C2:C9">
    <x:cfRule type="expression" dxfId="5" priority="1">
      <x:formula>C2="☑"</x:formula>
    </x:cfRule>
  </x:conditionalFormatting>
  <x:dataValidations count="2">
    <x:dataValidation type="list" sqref="C2:C9">
      <x:formula1>"☐,☑"</x:formula1>
    </x:dataValidation>
    <x:dataValidation type="list" sqref="F2:F9">
      <x:formula1>Danh mục!$A$2:$A$6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0e92ff7ee64e6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18" hidden="0" customWidth="1"/>
    <x:col min="5" max="5" width="36" hidden="0" customWidth="1"/>
    <x:col min="6" max="6" width="16" hidden="0" customWidth="1"/>
    <x:col min="7" max="7" width="10" hidden="0" customWidth="1"/>
    <x:col min="8" max="8" width="32" hidden="0" customWidth="1"/>
  </x:cols>
  <x:sheetData>
    <x:row r="1">
      <x:c r="A1" s="6" t="str">
        <x:v>Ngày</x:v>
      </x:c>
      <x:c r="B1" s="6" t="str">
        <x:v>Thứ</x:v>
      </x:c>
      <x:c r="C1" s="6" t="str">
        <x:v>Task phụ chọn</x:v>
      </x:c>
      <x:c r="D1" s="6" t="str">
        <x:v>Nhóm</x:v>
      </x:c>
      <x:c r="E1" s="6" t="str">
        <x:v>Mục tiêu</x:v>
      </x:c>
      <x:c r="F1" s="6" t="str">
        <x:v>Status</x:v>
      </x:c>
      <x:c r="G1" s="6" t="str">
        <x:v>Điểm riêng</x:v>
      </x:c>
      <x:c r="H1" s="6" t="str">
        <x:v>Ghi chú</x:v>
      </x:c>
    </x:row>
    <x:row r="2">
      <x:c r="A2" s="20" t="n">
        <x:v>46191</x:v>
      </x:c>
      <x:c r="B2" s="12" t="str">
        <x:v>Thứ 5</x:v>
      </x:c>
      <x:c r="C2" s="12" t="str"/>
      <x:c r="D2" s="12" t="str"/>
      <x:c r="E2" s="12" t="str"/>
      <x:c r="F2" s="12" t="str">
        <x:v>☐ Chưa làm</x:v>
      </x:c>
      <x:c r="G2" s="12" t="n">
        <x:v>1</x:v>
      </x:c>
      <x:c r="H2" s="12" t="str"/>
    </x:row>
    <x:row r="3">
      <x:c r="A3" s="20" t="n">
        <x:v>46192</x:v>
      </x:c>
      <x:c r="B3" s="12" t="str">
        <x:v>Thứ 6</x:v>
      </x:c>
      <x:c r="C3" s="12" t="str"/>
      <x:c r="D3" s="12" t="str"/>
      <x:c r="E3" s="12" t="str"/>
      <x:c r="F3" s="12" t="str">
        <x:v>☐ Chưa làm</x:v>
      </x:c>
      <x:c r="G3" s="12" t="n">
        <x:v>1</x:v>
      </x:c>
      <x:c r="H3" s="12" t="str"/>
    </x:row>
    <x:row r="4">
      <x:c r="A4" s="20" t="n">
        <x:v>46193</x:v>
      </x:c>
      <x:c r="B4" s="12" t="str">
        <x:v>Thứ 7</x:v>
      </x:c>
      <x:c r="C4" s="12" t="str"/>
      <x:c r="D4" s="12" t="str"/>
      <x:c r="E4" s="12" t="str"/>
      <x:c r="F4" s="12" t="str">
        <x:v>☐ Chưa làm</x:v>
      </x:c>
      <x:c r="G4" s="12" t="n">
        <x:v>1</x:v>
      </x:c>
      <x:c r="H4" s="12" t="str"/>
    </x:row>
    <x:row r="5">
      <x:c r="A5" s="20" t="n">
        <x:v>46194</x:v>
      </x:c>
      <x:c r="B5" s="12" t="str">
        <x:v>Chủ nhật</x:v>
      </x:c>
      <x:c r="C5" s="12" t="str"/>
      <x:c r="D5" s="12" t="str"/>
      <x:c r="E5" s="12" t="str"/>
      <x:c r="F5" s="12" t="str">
        <x:v>☐ Chưa làm</x:v>
      </x:c>
      <x:c r="G5" s="12" t="n">
        <x:v>1</x:v>
      </x:c>
      <x:c r="H5" s="12" t="str"/>
    </x:row>
    <x:row r="6">
      <x:c r="A6" s="20" t="n">
        <x:v>46195</x:v>
      </x:c>
      <x:c r="B6" s="12" t="str">
        <x:v>Thứ 2</x:v>
      </x:c>
      <x:c r="C6" s="12" t="str"/>
      <x:c r="D6" s="12" t="str"/>
      <x:c r="E6" s="12" t="str"/>
      <x:c r="F6" s="12" t="str">
        <x:v>☐ Chưa làm</x:v>
      </x:c>
      <x:c r="G6" s="12" t="n">
        <x:v>1</x:v>
      </x:c>
      <x:c r="H6" s="12" t="str"/>
    </x:row>
    <x:row r="7">
      <x:c r="A7" s="20" t="n">
        <x:v>46196</x:v>
      </x:c>
      <x:c r="B7" s="12" t="str">
        <x:v>Thứ 3</x:v>
      </x:c>
      <x:c r="C7" s="12" t="str"/>
      <x:c r="D7" s="12" t="str"/>
      <x:c r="E7" s="12" t="str"/>
      <x:c r="F7" s="12" t="str">
        <x:v>☐ Chưa làm</x:v>
      </x:c>
      <x:c r="G7" s="12" t="n">
        <x:v>1</x:v>
      </x:c>
      <x:c r="H7" s="12" t="str"/>
    </x:row>
    <x:row r="8">
      <x:c r="A8" s="20" t="n">
        <x:v>46197</x:v>
      </x:c>
      <x:c r="B8" s="12" t="str">
        <x:v>Thứ 4</x:v>
      </x:c>
      <x:c r="C8" s="12" t="str"/>
      <x:c r="D8" s="12" t="str"/>
      <x:c r="E8" s="12" t="str"/>
      <x:c r="F8" s="12" t="str">
        <x:v>☐ Chưa làm</x:v>
      </x:c>
      <x:c r="G8" s="12" t="n">
        <x:v>1</x:v>
      </x:c>
      <x:c r="H8" s="12" t="str"/>
    </x:row>
    <x:row r="9">
      <x:c r="A9" s="20" t="n">
        <x:v>46198</x:v>
      </x:c>
      <x:c r="B9" s="12" t="str">
        <x:v>Thứ 5</x:v>
      </x:c>
      <x:c r="C9" s="12" t="str"/>
      <x:c r="D9" s="12" t="str"/>
      <x:c r="E9" s="12" t="str"/>
      <x:c r="F9" s="12" t="str">
        <x:v>☐ Chưa làm</x:v>
      </x:c>
      <x:c r="G9" s="12" t="n">
        <x:v>1</x:v>
      </x:c>
      <x:c r="H9" s="12" t="str"/>
    </x:row>
    <x:row r="10">
      <x:c r="A10" s="20" t="n">
        <x:v>46199</x:v>
      </x:c>
      <x:c r="B10" s="12" t="str">
        <x:v>Thứ 6</x:v>
      </x:c>
      <x:c r="C10" s="12" t="str"/>
      <x:c r="D10" s="12" t="str"/>
      <x:c r="E10" s="12" t="str"/>
      <x:c r="F10" s="12" t="str">
        <x:v>☐ Chưa làm</x:v>
      </x:c>
      <x:c r="G10" s="12" t="n">
        <x:v>1</x:v>
      </x:c>
      <x:c r="H10" s="12" t="str"/>
    </x:row>
    <x:row r="11">
      <x:c r="A11" s="20" t="n">
        <x:v>46200</x:v>
      </x:c>
      <x:c r="B11" s="12" t="str">
        <x:v>Thứ 7</x:v>
      </x:c>
      <x:c r="C11" s="12" t="str"/>
      <x:c r="D11" s="12" t="str"/>
      <x:c r="E11" s="12" t="str"/>
      <x:c r="F11" s="12" t="str">
        <x:v>☐ Chưa làm</x:v>
      </x:c>
      <x:c r="G11" s="12" t="n">
        <x:v>1</x:v>
      </x:c>
      <x:c r="H11" s="12" t="str"/>
    </x:row>
    <x:row r="12">
      <x:c r="A12" s="20" t="n">
        <x:v>46201</x:v>
      </x:c>
      <x:c r="B12" s="12" t="str">
        <x:v>Chủ nhật</x:v>
      </x:c>
      <x:c r="C12" s="12" t="str"/>
      <x:c r="D12" s="12" t="str"/>
      <x:c r="E12" s="12" t="str"/>
      <x:c r="F12" s="12" t="str">
        <x:v>☐ Chưa làm</x:v>
      </x:c>
      <x:c r="G12" s="12" t="n">
        <x:v>1</x:v>
      </x:c>
      <x:c r="H12" s="12" t="str"/>
    </x:row>
    <x:row r="13">
      <x:c r="A13" s="20" t="n">
        <x:v>46202</x:v>
      </x:c>
      <x:c r="B13" s="12" t="str">
        <x:v>Thứ 2</x:v>
      </x:c>
      <x:c r="C13" s="12" t="str"/>
      <x:c r="D13" s="12" t="str"/>
      <x:c r="E13" s="12" t="str"/>
      <x:c r="F13" s="12" t="str">
        <x:v>☐ Chưa làm</x:v>
      </x:c>
      <x:c r="G13" s="12" t="n">
        <x:v>1</x:v>
      </x:c>
      <x:c r="H13" s="12" t="str"/>
    </x:row>
    <x:row r="14">
      <x:c r="A14" s="20" t="n">
        <x:v>46203</x:v>
      </x:c>
      <x:c r="B14" s="12" t="str">
        <x:v>Thứ 3</x:v>
      </x:c>
      <x:c r="C14" s="12" t="str"/>
      <x:c r="D14" s="12" t="str"/>
      <x:c r="E14" s="12" t="str"/>
      <x:c r="F14" s="12" t="str">
        <x:v>☐ Chưa làm</x:v>
      </x:c>
      <x:c r="G14" s="12" t="n">
        <x:v>1</x:v>
      </x:c>
      <x:c r="H14" s="12" t="str"/>
    </x:row>
  </x:sheetData>
  <x:conditionalFormatting sqref="F2:F14">
    <x:cfRule type="expression" dxfId="6" priority="1">
      <x:formula>LEFT(F2,1)="☑"</x:formula>
    </x:cfRule>
  </x:conditionalFormatting>
  <x:dataValidations count="2">
    <x:dataValidation type="list" sqref="C2:C14">
      <x:formula1>Danh mục!$E$2:$E$34</x:formula1>
    </x:dataValidation>
    <x:dataValidation type="list" sqref="F2:F14">
      <x:formula1>Danh mục!$A$2:$A$6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7866bccb164ed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6" hidden="0" customWidth="1"/>
    <x:col min="5" max="5" width="28" hidden="0" customWidth="1"/>
    <x:col min="6" max="6" width="46" hidden="0" customWidth="1"/>
    <x:col min="7" max="7" width="16" hidden="0" customWidth="1"/>
  </x:cols>
  <x:sheetData>
    <x:row r="1">
      <x:c r="A1" s="30" t="str">
        <x:v>Task dời sang ngày mai</x:v>
      </x:c>
      <x:c r="B1" s="30" t="str">
        <x:v>Chọn Action = 'Dời sang ngày mai' ở sheet Lịch tháng 6 để đưa task vào danh sách này</x:v>
      </x:c>
      <x:c r="C1" s="12"/>
      <x:c r="D1" s="12"/>
      <x:c r="E1" s="12"/>
      <x:c r="F1" s="12"/>
      <x:c r="G1" s="12"/>
    </x:row>
    <x:row r="2">
      <x:c r="A2" s="12"/>
      <x:c r="B2" s="12"/>
      <x:c r="C2" s="12"/>
      <x:c r="D2" s="12"/>
      <x:c r="E2" s="12"/>
      <x:c r="F2" s="12"/>
      <x:c r="G2" s="12"/>
    </x:row>
    <x:row r="3">
      <x:c r="A3" s="6" t="str">
        <x:v>Ngày gốc</x:v>
      </x:c>
      <x:c r="B3" s="6" t="str">
        <x:v>Ngày dời sang</x:v>
      </x:c>
      <x:c r="C3" s="6" t="str">
        <x:v>Khung giờ</x:v>
      </x:c>
      <x:c r="D3" s="6" t="str">
        <x:v>Nhóm</x:v>
      </x:c>
      <x:c r="E3" s="6" t="str">
        <x:v>Task</x:v>
      </x:c>
      <x:c r="F3" s="6" t="str">
        <x:v>Ghi chú/Rule</x:v>
      </x:c>
      <x:c r="G3" s="6" t="str">
        <x:v>Status</x:v>
      </x:c>
    </x:row>
    <x:row r="4">
      <x:c r="A4" s="12" t="str">
        <x:f>FILTER('Lịch tháng 6'!A2:A200,'Lịch tháng 6'!J2:J200="Dời sang ngày mai","")</x:f>
      </x:c>
      <x:c r="B4" s="12" t="str">
        <x:f>FILTER('Lịch tháng 6'!K2:K200,'Lịch tháng 6'!J2:J200="Dời sang ngày mai","")</x:f>
      </x:c>
      <x:c r="C4" s="12" t="str">
        <x:f>FILTER('Lịch tháng 6'!C2:C200,'Lịch tháng 6'!J2:J200="Dời sang ngày mai","")</x:f>
      </x:c>
      <x:c r="D4" s="12" t="str">
        <x:f>FILTER('Lịch tháng 6'!D2:D200,'Lịch tháng 6'!J2:J200="Dời sang ngày mai","")</x:f>
      </x:c>
      <x:c r="E4" s="12" t="str">
        <x:f>FILTER('Lịch tháng 6'!E2:E200,'Lịch tháng 6'!J2:J200="Dời sang ngày mai","")</x:f>
      </x:c>
      <x:c r="F4" s="12" t="str">
        <x:f>FILTER('Lịch tháng 6'!F2:F200,'Lịch tháng 6'!J2:J200="Dời sang ngày mai","")</x:f>
      </x:c>
      <x:c r="G4" s="12" t="str">
        <x:f>FILTER('Lịch tháng 6'!I2:I200,'Lịch tháng 6'!J2:J200="Dời sang ngày mai","")</x:f>
      </x:c>
    </x:row>
    <x:row r="5">
      <x:c r="A5" s="12"/>
      <x:c r="B5" s="12"/>
      <x:c r="C5" s="12"/>
      <x:c r="D5" s="12"/>
      <x:c r="E5" s="12"/>
      <x:c r="F5" s="12"/>
      <x:c r="G5" s="12"/>
    </x:row>
    <x:row r="6">
      <x:c r="A6" s="12"/>
      <x:c r="B6" s="12"/>
      <x:c r="C6" s="12"/>
      <x:c r="D6" s="12"/>
      <x:c r="E6" s="12"/>
      <x:c r="F6" s="12"/>
      <x:c r="G6" s="12"/>
    </x:row>
    <x:row r="7">
      <x:c r="A7" s="12"/>
      <x:c r="B7" s="12"/>
      <x:c r="C7" s="12"/>
      <x:c r="D7" s="12"/>
      <x:c r="E7" s="12"/>
      <x:c r="F7" s="12"/>
      <x:c r="G7" s="12"/>
    </x:row>
    <x:row r="8">
      <x:c r="A8" s="12"/>
      <x:c r="B8" s="12"/>
      <x:c r="C8" s="12"/>
      <x:c r="D8" s="12"/>
      <x:c r="E8" s="12"/>
      <x:c r="F8" s="12"/>
      <x:c r="G8" s="12"/>
    </x:row>
    <x:row r="9">
      <x:c r="A9" s="12"/>
      <x:c r="B9" s="12"/>
      <x:c r="C9" s="12"/>
      <x:c r="D9" s="12"/>
      <x:c r="E9" s="12"/>
      <x:c r="F9" s="12"/>
      <x:c r="G9" s="12"/>
    </x:row>
    <x:row r="10">
      <x:c r="A10" s="12"/>
      <x:c r="B10" s="12"/>
      <x:c r="C10" s="12"/>
      <x:c r="D10" s="12"/>
      <x:c r="E10" s="12"/>
      <x:c r="F10" s="12"/>
      <x:c r="G10" s="12"/>
    </x:row>
    <x:row r="11">
      <x:c r="A11" s="12"/>
      <x:c r="B11" s="12"/>
      <x:c r="C11" s="12"/>
      <x:c r="D11" s="12"/>
      <x:c r="E11" s="12"/>
      <x:c r="F11" s="12"/>
      <x:c r="G11" s="12"/>
    </x:row>
    <x:row r="12">
      <x:c r="A12" s="12"/>
      <x:c r="B12" s="12"/>
      <x:c r="C12" s="12"/>
      <x:c r="D12" s="12"/>
      <x:c r="E12" s="12"/>
      <x:c r="F12" s="12"/>
      <x:c r="G12" s="12"/>
    </x:row>
    <x:row r="13">
      <x:c r="A13" s="12"/>
      <x:c r="B13" s="12"/>
      <x:c r="C13" s="12"/>
      <x:c r="D13" s="12"/>
      <x:c r="E13" s="12"/>
      <x:c r="F13" s="12"/>
      <x:c r="G13" s="12"/>
    </x:row>
    <x:row r="14">
      <x:c r="A14" s="12"/>
      <x:c r="B14" s="12"/>
      <x:c r="C14" s="12"/>
      <x:c r="D14" s="12"/>
      <x:c r="E14" s="12"/>
      <x:c r="F14" s="12"/>
      <x:c r="G14" s="12"/>
    </x:row>
    <x:row r="15">
      <x:c r="A15" s="12"/>
      <x:c r="B15" s="12"/>
      <x:c r="C15" s="12"/>
      <x:c r="D15" s="12"/>
      <x:c r="E15" s="12"/>
      <x:c r="F15" s="12"/>
      <x:c r="G15" s="12"/>
    </x:row>
    <x:row r="16">
      <x:c r="A16" s="12"/>
      <x:c r="B16" s="12"/>
      <x:c r="C16" s="12"/>
      <x:c r="D16" s="12"/>
      <x:c r="E16" s="12"/>
      <x:c r="F16" s="12"/>
      <x:c r="G16" s="12"/>
    </x:row>
    <x:row r="17">
      <x:c r="A17" s="12"/>
      <x:c r="B17" s="12"/>
      <x:c r="C17" s="12"/>
      <x:c r="D17" s="12"/>
      <x:c r="E17" s="12"/>
      <x:c r="F17" s="12"/>
      <x:c r="G17" s="12"/>
    </x:row>
    <x:row r="18">
      <x:c r="A18" s="12"/>
      <x:c r="B18" s="12"/>
      <x:c r="C18" s="12"/>
      <x:c r="D18" s="12"/>
      <x:c r="E18" s="12"/>
      <x:c r="F18" s="12"/>
      <x:c r="G18" s="12"/>
    </x:row>
    <x:row r="19">
      <x:c r="A19" s="12"/>
      <x:c r="B19" s="12"/>
      <x:c r="C19" s="12"/>
      <x:c r="D19" s="12"/>
      <x:c r="E19" s="12"/>
      <x:c r="F19" s="12"/>
      <x:c r="G19" s="12"/>
    </x:row>
    <x:row r="20">
      <x:c r="A20" s="12"/>
      <x:c r="B20" s="12"/>
      <x:c r="C20" s="12"/>
      <x:c r="D20" s="12"/>
      <x:c r="E20" s="12"/>
      <x:c r="F20" s="12"/>
      <x:c r="G20" s="12"/>
    </x:row>
    <x:row r="21">
      <x:c r="A21" s="12"/>
      <x:c r="B21" s="12"/>
      <x:c r="C21" s="12"/>
      <x:c r="D21" s="12"/>
      <x:c r="E21" s="12"/>
      <x:c r="F21" s="12"/>
      <x:c r="G21" s="12"/>
    </x:row>
    <x:row r="22">
      <x:c r="A22" s="12"/>
      <x:c r="B22" s="12"/>
      <x:c r="C22" s="12"/>
      <x:c r="D22" s="12"/>
      <x:c r="E22" s="12"/>
      <x:c r="F22" s="12"/>
      <x:c r="G22" s="12"/>
    </x:row>
    <x:row r="23">
      <x:c r="A23" s="12"/>
      <x:c r="B23" s="12"/>
      <x:c r="C23" s="12"/>
      <x:c r="D23" s="12"/>
      <x:c r="E23" s="12"/>
      <x:c r="F23" s="12"/>
      <x:c r="G23" s="12"/>
    </x:row>
    <x:row r="24">
      <x:c r="A24" s="12"/>
      <x:c r="B24" s="12"/>
      <x:c r="C24" s="12"/>
      <x:c r="D24" s="12"/>
      <x:c r="E24" s="12"/>
      <x:c r="F24" s="12"/>
      <x:c r="G24" s="12"/>
    </x:row>
    <x:row r="25">
      <x:c r="A25" s="12"/>
      <x:c r="B25" s="12"/>
      <x:c r="C25" s="12"/>
      <x:c r="D25" s="12"/>
      <x:c r="E25" s="12"/>
      <x:c r="F25" s="12"/>
      <x:c r="G25" s="12"/>
    </x:row>
    <x:row r="26">
      <x:c r="A26" s="12"/>
      <x:c r="B26" s="12"/>
      <x:c r="C26" s="12"/>
      <x:c r="D26" s="12"/>
      <x:c r="E26" s="12"/>
      <x:c r="F26" s="12"/>
      <x:c r="G26" s="12"/>
    </x:row>
    <x:row r="27">
      <x:c r="A27" s="12"/>
      <x:c r="B27" s="12"/>
      <x:c r="C27" s="12"/>
      <x:c r="D27" s="12"/>
      <x:c r="E27" s="12"/>
      <x:c r="F27" s="12"/>
      <x:c r="G27" s="12"/>
    </x:row>
    <x:row r="28">
      <x:c r="A28" s="12"/>
      <x:c r="B28" s="12"/>
      <x:c r="C28" s="12"/>
      <x:c r="D28" s="12"/>
      <x:c r="E28" s="12"/>
      <x:c r="F28" s="12"/>
      <x:c r="G28" s="12"/>
    </x:row>
    <x:row r="29">
      <x:c r="A29" s="12"/>
      <x:c r="B29" s="12"/>
      <x:c r="C29" s="12"/>
      <x:c r="D29" s="12"/>
      <x:c r="E29" s="12"/>
      <x:c r="F29" s="12"/>
      <x:c r="G29" s="12"/>
    </x:row>
    <x:row r="30">
      <x:c r="A30" s="12"/>
      <x:c r="B30" s="12"/>
      <x:c r="C30" s="12"/>
      <x:c r="D30" s="12"/>
      <x:c r="E30" s="12"/>
      <x:c r="F30" s="12"/>
      <x:c r="G30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20" hidden="0" customWidth="1"/>
    <x:col min="5" max="5" width="46" hidden="0" customWidth="1"/>
  </x:cols>
  <x:sheetData>
    <x:row r="1">
      <x:c r="A1" s="6" t="str">
        <x:v>Status</x:v>
      </x:c>
      <x:c r="B1" s="6" t="str">
        <x:v>Action</x:v>
      </x:c>
      <x:c r="C1" s="6" t="str">
        <x:v>Priority</x:v>
      </x:c>
      <x:c r="D1" s="6" t="str">
        <x:v>Main Task</x:v>
      </x:c>
      <x:c r="E1" s="6" t="str">
        <x:v>Optional Task</x:v>
      </x:c>
    </x:row>
    <x:row r="2">
      <x:c r="A2" s="12" t="str">
        <x:v>☐ Chưa làm</x:v>
      </x:c>
      <x:c r="B2" s="12" t="str">
        <x:v>Giữ nguyên</x:v>
      </x:c>
      <x:c r="C2" s="12" t="str">
        <x:v>Cao</x:v>
      </x:c>
      <x:c r="D2" s="12" t="str">
        <x:v>SQLD</x:v>
      </x:c>
      <x:c r="E2" s="12" t="str">
        <x:v>SQLD - làm thêm 1 đề mini</x:v>
      </x:c>
    </x:row>
    <x:row r="3">
      <x:c r="A3" s="12" t="str">
        <x:v>◐ Đang làm</x:v>
      </x:c>
      <x:c r="B3" s="12" t="str">
        <x:v>Dời sang ngày mai</x:v>
      </x:c>
      <x:c r="C3" s="12" t="str">
        <x:v>Trung bình</x:v>
      </x:c>
      <x:c r="D3" s="12" t="str">
        <x:v>정보처리기사</x:v>
      </x:c>
      <x:c r="E3" s="12" t="str">
        <x:v>SQLD - ôn lý thuyết môn 2</x:v>
      </x:c>
    </x:row>
    <x:row r="4">
      <x:c r="A4" s="12" t="str">
        <x:v>☑ Xong</x:v>
      </x:c>
      <x:c r="B4" s="12"/>
      <x:c r="C4" s="12" t="str">
        <x:v>Thấp</x:v>
      </x:c>
      <x:c r="D4" s="12" t="str">
        <x:v>IELTS</x:v>
      </x:c>
      <x:c r="E4" s="12" t="str">
        <x:v>SQLD - chữa error log</x:v>
      </x:c>
    </x:row>
    <x:row r="5">
      <x:c r="A5" s="12" t="str">
        <x:v>➜ Dời sang ngày mai</x:v>
      </x:c>
      <x:c r="B5" s="12"/>
      <x:c r="C5" s="12"/>
      <x:c r="D5" s="12" t="str">
        <x:v>English</x:v>
      </x:c>
      <x:c r="E5" s="12" t="str">
        <x:v>정보처리기사 - 1 bộ 기출 mini</x:v>
      </x:c>
    </x:row>
    <x:row r="6">
      <x:c r="A6" s="12" t="str">
        <x:v>✕ Bỏ qua</x:v>
      </x:c>
      <x:c r="B6" s="12"/>
      <x:c r="C6" s="12"/>
      <x:c r="D6" s="12" t="str">
        <x:v>Korean</x:v>
      </x:c>
      <x:c r="E6" s="12" t="str">
        <x:v>정보처리기사 - ôn keyword</x:v>
      </x:c>
    </x:row>
    <x:row r="7">
      <x:c r="A7" s="12"/>
      <x:c r="B7" s="12"/>
      <x:c r="C7" s="12"/>
      <x:c r="D7" s="12" t="str">
        <x:v>Spring Boot</x:v>
      </x:c>
      <x:c r="E7" s="12" t="str">
        <x:v>정보처리기사 - chữa câu sai</x:v>
      </x:c>
    </x:row>
    <x:row r="8">
      <x:c r="A8" s="12"/>
      <x:c r="B8" s="12"/>
      <x:c r="C8" s="12"/>
      <x:c r="D8" s="12" t="str">
        <x:v>React/WebSquare</x:v>
      </x:c>
      <x:c r="E8" s="12" t="str">
        <x:v>IELTS - Listening extra</x:v>
      </x:c>
    </x:row>
    <x:row r="9">
      <x:c r="A9" s="12"/>
      <x:c r="B9" s="12"/>
      <x:c r="C9" s="12"/>
      <x:c r="D9" s="12" t="str">
        <x:v>Exercise</x:v>
      </x:c>
      <x:c r="E9" s="12" t="str">
        <x:v>IELTS - Reading extra</x:v>
      </x:c>
    </x:row>
    <x:row r="10">
      <x:c r="A10" s="12"/>
      <x:c r="B10" s="12"/>
      <x:c r="C10" s="12"/>
      <x:c r="D10" s="12" t="str">
        <x:v>Swimming</x:v>
      </x:c>
      <x:c r="E10" s="12" t="str">
        <x:v>IELTS - Speaking recording</x:v>
      </x:c>
    </x:row>
    <x:row r="11">
      <x:c r="A11" s="12"/>
      <x:c r="B11" s="12"/>
      <x:c r="C11" s="12"/>
      <x:c r="D11" s="12" t="str">
        <x:v>Task phụ</x:v>
      </x:c>
      <x:c r="E11" s="12" t="str">
        <x:v>IELTS - Writing Task 1</x:v>
      </x:c>
    </x:row>
    <x:row r="12">
      <x:c r="A12" s="12"/>
      <x:c r="B12" s="12"/>
      <x:c r="C12" s="12"/>
      <x:c r="D12" s="12" t="str">
        <x:v>Nghỉ/Recovery</x:v>
      </x:c>
      <x:c r="E12" s="12" t="str">
        <x:v>IELTS - Writing Task 2</x:v>
      </x:c>
    </x:row>
    <x:row r="13">
      <x:c r="A13" s="12"/>
      <x:c r="B13" s="12"/>
      <x:c r="C13" s="12"/>
      <x:c r="D13" s="12"/>
      <x:c r="E13" s="12" t="str">
        <x:v>English Grammar in Use - thêm 1 unit</x:v>
      </x:c>
    </x:row>
    <x:row r="14">
      <x:c r="A14" s="12"/>
      <x:c r="B14" s="12"/>
      <x:c r="C14" s="12"/>
      <x:c r="D14" s="12"/>
      <x:c r="E14" s="12" t="str">
        <x:v>English Anki - review bù</x:v>
      </x:c>
    </x:row>
    <x:row r="15">
      <x:c r="A15" s="12"/>
      <x:c r="B15" s="12"/>
      <x:c r="C15" s="12"/>
      <x:c r="D15" s="12"/>
      <x:c r="E15" s="12" t="str">
        <x:v>Korean - đọc Naver News</x:v>
      </x:c>
    </x:row>
    <x:row r="16">
      <x:c r="A16" s="12"/>
      <x:c r="B16" s="12"/>
      <x:c r="C16" s="12"/>
      <x:c r="D16" s="12"/>
      <x:c r="E16" s="12" t="str">
        <x:v>Korean - KBS shadowing</x:v>
      </x:c>
    </x:row>
    <x:row r="17">
      <x:c r="A17" s="12"/>
      <x:c r="B17" s="12"/>
      <x:c r="C17" s="12"/>
      <x:c r="D17" s="12"/>
      <x:c r="E17" s="12" t="str">
        <x:v>Korean - ghi âm 3 phút</x:v>
      </x:c>
    </x:row>
    <x:row r="18">
      <x:c r="A18" s="12"/>
      <x:c r="B18" s="12"/>
      <x:c r="C18" s="12"/>
      <x:c r="D18" s="12"/>
      <x:c r="E18" s="12" t="str">
        <x:v>Korean - viết email ngắn</x:v>
      </x:c>
    </x:row>
    <x:row r="19">
      <x:c r="A19" s="12"/>
      <x:c r="B19" s="12"/>
      <x:c r="C19" s="12"/>
      <x:c r="D19" s="12"/>
      <x:c r="E19" s="12" t="str">
        <x:v>Spring Boot - học lý thuyết</x:v>
      </x:c>
    </x:row>
    <x:row r="20">
      <x:c r="A20" s="12"/>
      <x:c r="B20" s="12"/>
      <x:c r="C20" s="12"/>
      <x:c r="D20" s="12"/>
      <x:c r="E20" s="12" t="str">
        <x:v>Spring Boot - 1 commit</x:v>
      </x:c>
    </x:row>
    <x:row r="21">
      <x:c r="A21" s="12"/>
      <x:c r="B21" s="12"/>
      <x:c r="C21" s="12"/>
      <x:c r="D21" s="12"/>
      <x:c r="E21" s="12" t="str">
        <x:v>Spring Boot - 1 tính năng</x:v>
      </x:c>
    </x:row>
    <x:row r="22">
      <x:c r="A22" s="12"/>
      <x:c r="B22" s="12"/>
      <x:c r="C22" s="12"/>
      <x:c r="D22" s="12"/>
      <x:c r="E22" s="12" t="str">
        <x:v>React/WebSquare - học lý thuyết</x:v>
      </x:c>
    </x:row>
    <x:row r="23">
      <x:c r="A23" s="12"/>
      <x:c r="B23" s="12"/>
      <x:c r="C23" s="12"/>
      <x:c r="D23" s="12"/>
      <x:c r="E23" s="12" t="str">
        <x:v>React/WebSquare - 1 commit</x:v>
      </x:c>
    </x:row>
    <x:row r="24">
      <x:c r="A24" s="12"/>
      <x:c r="B24" s="12"/>
      <x:c r="C24" s="12"/>
      <x:c r="D24" s="12"/>
      <x:c r="E24" s="12" t="str">
        <x:v>React/WebSquare - 1 tính năng</x:v>
      </x:c>
    </x:row>
    <x:row r="25">
      <x:c r="A25" s="12"/>
      <x:c r="B25" s="12"/>
      <x:c r="C25" s="12"/>
      <x:c r="D25" s="12"/>
      <x:c r="E25" s="12" t="str">
        <x:v>Java/OOP review</x:v>
      </x:c>
    </x:row>
    <x:row r="26">
      <x:c r="A26" s="12"/>
      <x:c r="B26" s="12"/>
      <x:c r="C26" s="12"/>
      <x:c r="D26" s="12"/>
      <x:c r="E26" s="12" t="str">
        <x:v>Database/SQL practice</x:v>
      </x:c>
    </x:row>
    <x:row r="27">
      <x:c r="A27" s="12"/>
      <x:c r="B27" s="12"/>
      <x:c r="C27" s="12"/>
      <x:c r="D27" s="12"/>
      <x:c r="E27" s="12" t="str">
        <x:v>Git/GitHub practice</x:v>
      </x:c>
    </x:row>
    <x:row r="28">
      <x:c r="A28" s="12"/>
      <x:c r="B28" s="12"/>
      <x:c r="C28" s="12"/>
      <x:c r="D28" s="12"/>
      <x:c r="E28" s="12" t="str">
        <x:v>Docker basics</x:v>
      </x:c>
    </x:row>
    <x:row r="29">
      <x:c r="A29" s="12"/>
      <x:c r="B29" s="12"/>
      <x:c r="C29" s="12"/>
      <x:c r="D29" s="12"/>
      <x:c r="E29" s="12" t="str">
        <x:v>AWS/Cloud basic cert</x:v>
      </x:c>
    </x:row>
    <x:row r="30">
      <x:c r="A30" s="12"/>
      <x:c r="B30" s="12"/>
      <x:c r="C30" s="12"/>
      <x:c r="D30" s="12"/>
      <x:c r="E30" s="12" t="str">
        <x:v>Linux command basics</x:v>
      </x:c>
    </x:row>
    <x:row r="31">
      <x:c r="A31" s="12"/>
      <x:c r="B31" s="12"/>
      <x:c r="C31" s="12"/>
      <x:c r="D31" s="12"/>
      <x:c r="E31" s="12" t="str">
        <x:v>ACCA/Accounting review</x:v>
      </x:c>
    </x:row>
    <x:row r="32">
      <x:c r="A32" s="12"/>
      <x:c r="B32" s="12"/>
      <x:c r="C32" s="12"/>
      <x:c r="D32" s="12"/>
      <x:c r="E32" s="12" t="str">
        <x:v>Power BI / Data Analytics</x:v>
      </x:c>
    </x:row>
    <x:row r="33">
      <x:c r="A33" s="12"/>
      <x:c r="B33" s="12"/>
      <x:c r="C33" s="12"/>
      <x:c r="D33" s="12"/>
      <x:c r="E33" s="12" t="str">
        <x:v>GRE/GMAT vocabulary</x:v>
      </x:c>
    </x:row>
    <x:row r="34">
      <x:c r="A34" s="12"/>
      <x:c r="B34" s="12"/>
      <x:c r="C34" s="12"/>
      <x:c r="D34" s="12"/>
      <x:c r="E34" s="12" t="str">
        <x:v>Other certificate task</x:v>
      </x:c>
    </x:row>
  </x:sheetData>
  <x:pageMargins left="0.7" right="0.7" top="0.75" bottom="0.75" header="0.3" footer="0.3"/>
</x:worksheet>
</file>